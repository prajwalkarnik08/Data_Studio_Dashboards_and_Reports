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0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1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2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3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4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5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6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\Kshitij Shrivastav Sir\"/>
    </mc:Choice>
  </mc:AlternateContent>
  <xr:revisionPtr revIDLastSave="0" documentId="13_ncr:1_{75AFB9DD-8DF5-43C8-AC2B-D5CC8DF1E4E0}" xr6:coauthVersionLast="47" xr6:coauthVersionMax="47" xr10:uidLastSave="{00000000-0000-0000-0000-000000000000}"/>
  <bookViews>
    <workbookView xWindow="-108" yWindow="-108" windowWidth="23256" windowHeight="12456" firstSheet="6" activeTab="15" xr2:uid="{474DC1A7-A084-408E-99AA-FD20581DBBC0}"/>
  </bookViews>
  <sheets>
    <sheet name="Gujrat" sheetId="23" r:id="rId1"/>
    <sheet name="Yavatmal" sheetId="22" r:id="rId2"/>
    <sheet name="Wardha" sheetId="21" r:id="rId3"/>
    <sheet name="All India" sheetId="6" r:id="rId4"/>
    <sheet name="mk khan" sheetId="8" r:id="rId5"/>
    <sheet name="w-mh" sheetId="9" r:id="rId6"/>
    <sheet name="mp-indore" sheetId="10" r:id="rId7"/>
    <sheet name="mp-jabalpur" sheetId="11" r:id="rId8"/>
    <sheet name="South" sheetId="12" r:id="rId9"/>
    <sheet name="Chhattisgarh" sheetId="13" r:id="rId10"/>
    <sheet name="Rajasthan" sheetId="14" r:id="rId11"/>
    <sheet name="UP" sheetId="15" r:id="rId12"/>
    <sheet name="jharkhand" sheetId="16" r:id="rId13"/>
    <sheet name="bihar" sheetId="17" r:id="rId14"/>
    <sheet name="Nagpur" sheetId="18" r:id="rId15"/>
    <sheet name="bhandara" sheetId="19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2" l="1"/>
  <c r="F38" i="22"/>
  <c r="F37" i="22"/>
  <c r="F33" i="22"/>
  <c r="F32" i="22"/>
  <c r="F31" i="22"/>
  <c r="F30" i="22"/>
  <c r="F29" i="22"/>
  <c r="F28" i="22"/>
  <c r="F27" i="22"/>
  <c r="F26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5" i="22"/>
  <c r="F4" i="22"/>
  <c r="F3" i="22"/>
  <c r="D38" i="22"/>
  <c r="D37" i="22"/>
  <c r="D33" i="22"/>
  <c r="D32" i="22"/>
  <c r="D31" i="22"/>
  <c r="D30" i="22"/>
  <c r="D29" i="22"/>
  <c r="D28" i="22"/>
  <c r="D27" i="22"/>
  <c r="D26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5" i="22"/>
  <c r="D4" i="22"/>
  <c r="D3" i="22"/>
  <c r="D2" i="22"/>
  <c r="F41" i="23"/>
  <c r="F40" i="23"/>
  <c r="F39" i="23"/>
  <c r="F38" i="23"/>
  <c r="F34" i="23"/>
  <c r="F33" i="23"/>
  <c r="F32" i="23"/>
  <c r="F31" i="23"/>
  <c r="F30" i="23"/>
  <c r="F29" i="23"/>
  <c r="F28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5" i="23"/>
  <c r="F4" i="23"/>
  <c r="F3" i="23"/>
  <c r="D41" i="23"/>
  <c r="D40" i="23"/>
  <c r="D39" i="23"/>
  <c r="D38" i="23"/>
  <c r="D34" i="23"/>
  <c r="D33" i="23"/>
  <c r="D32" i="23"/>
  <c r="D31" i="23"/>
  <c r="D30" i="23"/>
  <c r="D29" i="23"/>
  <c r="D28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5" i="23"/>
  <c r="D4" i="23"/>
  <c r="D3" i="23"/>
  <c r="D2" i="23"/>
  <c r="F2" i="23"/>
  <c r="H6" i="19"/>
  <c r="H5" i="19"/>
  <c r="H4" i="19"/>
  <c r="H3" i="19"/>
  <c r="H2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36" i="19"/>
  <c r="H35" i="19"/>
  <c r="H34" i="19"/>
  <c r="H33" i="19"/>
  <c r="H32" i="19"/>
  <c r="H31" i="19"/>
  <c r="H30" i="19"/>
  <c r="H29" i="19"/>
  <c r="H43" i="19"/>
  <c r="H42" i="19"/>
  <c r="H41" i="19"/>
  <c r="H40" i="19"/>
  <c r="H48" i="19"/>
  <c r="H47" i="19"/>
  <c r="H6" i="18"/>
  <c r="H5" i="18"/>
  <c r="H4" i="18"/>
  <c r="H3" i="18"/>
  <c r="H2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34" i="18"/>
  <c r="H33" i="18"/>
  <c r="H32" i="18"/>
  <c r="H31" i="18"/>
  <c r="H30" i="18"/>
  <c r="H29" i="18"/>
  <c r="H28" i="18"/>
  <c r="H27" i="18"/>
  <c r="H41" i="18"/>
  <c r="H40" i="18"/>
  <c r="H39" i="18"/>
  <c r="H38" i="18"/>
  <c r="H46" i="18"/>
  <c r="H45" i="18"/>
  <c r="H6" i="17"/>
  <c r="H5" i="17"/>
  <c r="H4" i="17"/>
  <c r="H3" i="17"/>
  <c r="H2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35" i="17"/>
  <c r="H34" i="17"/>
  <c r="H33" i="17"/>
  <c r="H32" i="17"/>
  <c r="H31" i="17"/>
  <c r="H30" i="17"/>
  <c r="H29" i="17"/>
  <c r="H28" i="17"/>
  <c r="H42" i="17"/>
  <c r="H41" i="17"/>
  <c r="H40" i="17"/>
  <c r="H39" i="17"/>
  <c r="H47" i="17"/>
  <c r="H46" i="17"/>
  <c r="H5" i="16"/>
  <c r="H4" i="16"/>
  <c r="H3" i="16"/>
  <c r="H2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33" i="16"/>
  <c r="H32" i="16"/>
  <c r="H31" i="16"/>
  <c r="H30" i="16"/>
  <c r="H29" i="16"/>
  <c r="H28" i="16"/>
  <c r="H27" i="16"/>
  <c r="H26" i="16"/>
  <c r="H39" i="16"/>
  <c r="H38" i="16"/>
  <c r="H37" i="16"/>
  <c r="H49" i="15"/>
  <c r="H48" i="15"/>
  <c r="H44" i="15"/>
  <c r="H43" i="15"/>
  <c r="H42" i="15"/>
  <c r="H41" i="15"/>
  <c r="H40" i="15"/>
  <c r="H39" i="15"/>
  <c r="H35" i="15"/>
  <c r="H34" i="15"/>
  <c r="H33" i="15"/>
  <c r="H32" i="15"/>
  <c r="H31" i="15"/>
  <c r="H30" i="15"/>
  <c r="H29" i="15"/>
  <c r="H28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6" i="15"/>
  <c r="H5" i="15"/>
  <c r="H4" i="15"/>
  <c r="H3" i="15"/>
  <c r="H2" i="15"/>
  <c r="H6" i="14"/>
  <c r="H5" i="14"/>
  <c r="H4" i="14"/>
  <c r="H3" i="14"/>
  <c r="H2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33" i="14"/>
  <c r="H32" i="14"/>
  <c r="H31" i="14"/>
  <c r="H30" i="14"/>
  <c r="H29" i="14"/>
  <c r="H28" i="14"/>
  <c r="H27" i="14"/>
  <c r="H41" i="14"/>
  <c r="H40" i="14"/>
  <c r="H39" i="14"/>
  <c r="H38" i="14"/>
  <c r="H37" i="14"/>
  <c r="H46" i="14"/>
  <c r="H45" i="14"/>
  <c r="H6" i="13"/>
  <c r="H5" i="13"/>
  <c r="H4" i="13"/>
  <c r="H3" i="13"/>
  <c r="H2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34" i="13"/>
  <c r="H33" i="13"/>
  <c r="H32" i="13"/>
  <c r="H31" i="13"/>
  <c r="H30" i="13"/>
  <c r="H29" i="13"/>
  <c r="H28" i="13"/>
  <c r="H27" i="13"/>
  <c r="H45" i="13"/>
  <c r="H44" i="13"/>
  <c r="H40" i="13"/>
  <c r="H39" i="13"/>
  <c r="H38" i="13"/>
  <c r="H6" i="12"/>
  <c r="H5" i="12"/>
  <c r="H4" i="12"/>
  <c r="H3" i="12"/>
  <c r="H2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34" i="12"/>
  <c r="H33" i="12"/>
  <c r="H32" i="12"/>
  <c r="H31" i="12"/>
  <c r="H30" i="12"/>
  <c r="H29" i="12"/>
  <c r="H28" i="12"/>
  <c r="H27" i="12"/>
  <c r="H41" i="12"/>
  <c r="H40" i="12"/>
  <c r="H39" i="12"/>
  <c r="H38" i="12"/>
  <c r="H46" i="12"/>
  <c r="H45" i="12"/>
  <c r="H47" i="11"/>
  <c r="H46" i="11"/>
  <c r="H42" i="11"/>
  <c r="H41" i="11"/>
  <c r="H40" i="11"/>
  <c r="H39" i="11"/>
  <c r="H35" i="11"/>
  <c r="H34" i="11"/>
  <c r="H33" i="11"/>
  <c r="H32" i="11"/>
  <c r="H31" i="11"/>
  <c r="H30" i="11"/>
  <c r="H29" i="11"/>
  <c r="H28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6" i="11"/>
  <c r="H5" i="11"/>
  <c r="H4" i="11"/>
  <c r="H3" i="11"/>
  <c r="H2" i="11"/>
  <c r="H48" i="10"/>
  <c r="H47" i="10"/>
  <c r="H43" i="10"/>
  <c r="H42" i="10"/>
  <c r="H41" i="10"/>
  <c r="H40" i="10"/>
  <c r="H39" i="10"/>
  <c r="H35" i="10"/>
  <c r="H34" i="10"/>
  <c r="H33" i="10"/>
  <c r="H32" i="10"/>
  <c r="H31" i="10"/>
  <c r="H30" i="10"/>
  <c r="H29" i="10"/>
  <c r="H28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6" i="10"/>
  <c r="H5" i="10"/>
  <c r="H4" i="10"/>
  <c r="H3" i="10"/>
  <c r="H2" i="10"/>
  <c r="H49" i="9"/>
  <c r="H50" i="9"/>
  <c r="H48" i="9"/>
  <c r="H47" i="9"/>
  <c r="H43" i="9"/>
  <c r="H42" i="9"/>
  <c r="H41" i="9"/>
  <c r="H40" i="9"/>
  <c r="H39" i="9"/>
  <c r="H35" i="9"/>
  <c r="H34" i="9"/>
  <c r="H33" i="9"/>
  <c r="H32" i="9"/>
  <c r="H31" i="9"/>
  <c r="H30" i="9"/>
  <c r="H29" i="9"/>
  <c r="H28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6" i="9"/>
  <c r="H5" i="9"/>
  <c r="H4" i="9"/>
  <c r="H3" i="9"/>
  <c r="H2" i="9"/>
  <c r="H48" i="8"/>
  <c r="H47" i="8"/>
  <c r="H46" i="8"/>
  <c r="H42" i="8"/>
  <c r="H41" i="8"/>
  <c r="H40" i="8"/>
  <c r="H39" i="8"/>
  <c r="H35" i="8"/>
  <c r="H34" i="8"/>
  <c r="H33" i="8"/>
  <c r="H32" i="8"/>
  <c r="H31" i="8"/>
  <c r="H30" i="8"/>
  <c r="H29" i="8"/>
  <c r="H28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2" i="8"/>
  <c r="F48" i="19"/>
  <c r="F47" i="19"/>
  <c r="F43" i="19"/>
  <c r="F42" i="19"/>
  <c r="F41" i="19"/>
  <c r="F40" i="19"/>
  <c r="F36" i="19"/>
  <c r="F33" i="19"/>
  <c r="F32" i="19"/>
  <c r="F31" i="19"/>
  <c r="F30" i="19"/>
  <c r="F29" i="19"/>
  <c r="F18" i="19"/>
  <c r="F25" i="19"/>
  <c r="F14" i="19"/>
  <c r="F13" i="19"/>
  <c r="F12" i="19"/>
  <c r="F11" i="19"/>
  <c r="F6" i="19"/>
  <c r="F5" i="19"/>
  <c r="F4" i="19"/>
  <c r="F3" i="19"/>
  <c r="F2" i="19"/>
  <c r="F46" i="18"/>
  <c r="F45" i="18"/>
  <c r="F41" i="18"/>
  <c r="F39" i="18"/>
  <c r="F38" i="18"/>
  <c r="F34" i="18"/>
  <c r="F31" i="18"/>
  <c r="F30" i="18"/>
  <c r="F29" i="18"/>
  <c r="F28" i="18"/>
  <c r="F27" i="18"/>
  <c r="F23" i="18"/>
  <c r="F22" i="18"/>
  <c r="F18" i="18"/>
  <c r="F17" i="18"/>
  <c r="F16" i="18"/>
  <c r="F15" i="18"/>
  <c r="F14" i="18"/>
  <c r="F13" i="18"/>
  <c r="F12" i="18"/>
  <c r="F11" i="18"/>
  <c r="F10" i="18"/>
  <c r="F6" i="18"/>
  <c r="F5" i="18"/>
  <c r="F4" i="18"/>
  <c r="F3" i="18"/>
  <c r="F2" i="18"/>
  <c r="F47" i="17"/>
  <c r="F46" i="17"/>
  <c r="F42" i="17"/>
  <c r="F41" i="17"/>
  <c r="F40" i="17"/>
  <c r="F39" i="17"/>
  <c r="F33" i="17"/>
  <c r="F35" i="17"/>
  <c r="F32" i="17"/>
  <c r="F31" i="17"/>
  <c r="F30" i="17"/>
  <c r="F29" i="17"/>
  <c r="F28" i="17"/>
  <c r="F24" i="17"/>
  <c r="F23" i="17"/>
  <c r="F22" i="17"/>
  <c r="F19" i="17"/>
  <c r="F18" i="17"/>
  <c r="F15" i="17"/>
  <c r="F14" i="17"/>
  <c r="F13" i="17"/>
  <c r="F12" i="17"/>
  <c r="F11" i="17"/>
  <c r="F10" i="17"/>
  <c r="F6" i="17"/>
  <c r="F5" i="17"/>
  <c r="F4" i="17"/>
  <c r="F3" i="17"/>
  <c r="F2" i="17"/>
  <c r="F39" i="16"/>
  <c r="F38" i="16"/>
  <c r="F37" i="16"/>
  <c r="F33" i="16"/>
  <c r="F29" i="16"/>
  <c r="F28" i="16"/>
  <c r="F27" i="16"/>
  <c r="F26" i="16"/>
  <c r="F17" i="16"/>
  <c r="F16" i="16"/>
  <c r="F22" i="16"/>
  <c r="F21" i="16"/>
  <c r="F20" i="16"/>
  <c r="F19" i="16"/>
  <c r="F18" i="16"/>
  <c r="F12" i="16"/>
  <c r="F11" i="16"/>
  <c r="F10" i="16"/>
  <c r="F9" i="16"/>
  <c r="F5" i="16"/>
  <c r="F4" i="16"/>
  <c r="F3" i="16"/>
  <c r="F2" i="16"/>
  <c r="F49" i="15"/>
  <c r="F48" i="15"/>
  <c r="F44" i="15"/>
  <c r="F42" i="15"/>
  <c r="F41" i="15"/>
  <c r="F40" i="15"/>
  <c r="F39" i="15"/>
  <c r="F35" i="15"/>
  <c r="F30" i="15"/>
  <c r="F29" i="15"/>
  <c r="F28" i="15"/>
  <c r="F24" i="15"/>
  <c r="F23" i="15"/>
  <c r="F22" i="15"/>
  <c r="F21" i="15"/>
  <c r="F18" i="15"/>
  <c r="F17" i="15"/>
  <c r="F16" i="15"/>
  <c r="F15" i="15"/>
  <c r="F14" i="15"/>
  <c r="F13" i="15"/>
  <c r="F12" i="15"/>
  <c r="F11" i="15"/>
  <c r="F10" i="15"/>
  <c r="F6" i="15"/>
  <c r="F5" i="15"/>
  <c r="F4" i="15"/>
  <c r="F3" i="15"/>
  <c r="F2" i="15"/>
  <c r="F46" i="14"/>
  <c r="F45" i="14"/>
  <c r="F41" i="14"/>
  <c r="F40" i="14"/>
  <c r="F39" i="14"/>
  <c r="F38" i="14"/>
  <c r="F37" i="14"/>
  <c r="F31" i="14"/>
  <c r="F33" i="14"/>
  <c r="F32" i="14"/>
  <c r="F28" i="14"/>
  <c r="F27" i="14"/>
  <c r="F23" i="14"/>
  <c r="F22" i="14"/>
  <c r="F17" i="14"/>
  <c r="F16" i="14"/>
  <c r="F15" i="14"/>
  <c r="F14" i="14"/>
  <c r="F13" i="14"/>
  <c r="F12" i="14"/>
  <c r="F11" i="14"/>
  <c r="F10" i="14"/>
  <c r="F6" i="14"/>
  <c r="F5" i="14"/>
  <c r="F4" i="14"/>
  <c r="F3" i="14"/>
  <c r="F2" i="14"/>
  <c r="F45" i="13"/>
  <c r="F44" i="13"/>
  <c r="F40" i="13"/>
  <c r="F39" i="13"/>
  <c r="F38" i="13"/>
  <c r="F34" i="13"/>
  <c r="F33" i="13"/>
  <c r="F32" i="13"/>
  <c r="F31" i="13"/>
  <c r="F30" i="13"/>
  <c r="F29" i="13"/>
  <c r="F28" i="13"/>
  <c r="F27" i="13"/>
  <c r="F23" i="13"/>
  <c r="F19" i="13"/>
  <c r="F18" i="13"/>
  <c r="F17" i="13"/>
  <c r="F16" i="13"/>
  <c r="F15" i="13"/>
  <c r="F14" i="13"/>
  <c r="F13" i="13"/>
  <c r="F12" i="13"/>
  <c r="F11" i="13"/>
  <c r="F10" i="13"/>
  <c r="F6" i="13"/>
  <c r="F5" i="13"/>
  <c r="F4" i="13"/>
  <c r="F3" i="13"/>
  <c r="F2" i="13"/>
  <c r="F46" i="12"/>
  <c r="F45" i="12"/>
  <c r="F41" i="12"/>
  <c r="F40" i="12"/>
  <c r="F39" i="12"/>
  <c r="F38" i="12"/>
  <c r="F34" i="12"/>
  <c r="F32" i="12"/>
  <c r="F31" i="12"/>
  <c r="F30" i="12"/>
  <c r="F29" i="12"/>
  <c r="F28" i="12"/>
  <c r="F27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6" i="12"/>
  <c r="F5" i="12"/>
  <c r="F4" i="12"/>
  <c r="F3" i="12"/>
  <c r="F2" i="12"/>
  <c r="F47" i="11"/>
  <c r="F46" i="11"/>
  <c r="F42" i="11"/>
  <c r="F41" i="11"/>
  <c r="F40" i="11"/>
  <c r="F39" i="11"/>
  <c r="F35" i="11"/>
  <c r="F30" i="11"/>
  <c r="F29" i="11"/>
  <c r="F28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2" i="11"/>
  <c r="F6" i="11"/>
  <c r="F5" i="11"/>
  <c r="F4" i="11"/>
  <c r="F3" i="11"/>
  <c r="F48" i="10"/>
  <c r="F47" i="10"/>
  <c r="F43" i="10"/>
  <c r="F42" i="10"/>
  <c r="F41" i="10"/>
  <c r="F40" i="10"/>
  <c r="F39" i="10"/>
  <c r="F35" i="10"/>
  <c r="F34" i="10"/>
  <c r="F33" i="10"/>
  <c r="F32" i="10"/>
  <c r="F31" i="10"/>
  <c r="F30" i="10"/>
  <c r="F29" i="10"/>
  <c r="F28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6" i="10"/>
  <c r="F5" i="10"/>
  <c r="F4" i="10"/>
  <c r="F3" i="10"/>
  <c r="F2" i="10"/>
  <c r="F2" i="9"/>
  <c r="F50" i="9"/>
  <c r="F48" i="9"/>
  <c r="F47" i="9"/>
  <c r="F43" i="9"/>
  <c r="F42" i="9"/>
  <c r="F41" i="9"/>
  <c r="F40" i="9"/>
  <c r="F39" i="9"/>
  <c r="F35" i="9"/>
  <c r="F34" i="9"/>
  <c r="F33" i="9"/>
  <c r="F32" i="9"/>
  <c r="F31" i="9"/>
  <c r="F30" i="9"/>
  <c r="F29" i="9"/>
  <c r="F28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6" i="9"/>
  <c r="F5" i="9"/>
  <c r="F4" i="9"/>
  <c r="F3" i="9"/>
  <c r="F48" i="8"/>
  <c r="F47" i="8"/>
  <c r="F46" i="8"/>
  <c r="F42" i="8"/>
  <c r="F41" i="8"/>
  <c r="F40" i="8"/>
  <c r="F39" i="8"/>
  <c r="F36" i="8"/>
  <c r="F35" i="8"/>
  <c r="F34" i="8"/>
  <c r="F33" i="8"/>
  <c r="F32" i="8"/>
  <c r="F31" i="8"/>
  <c r="F30" i="8"/>
  <c r="F29" i="8"/>
  <c r="F28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6" i="8"/>
  <c r="F5" i="8"/>
  <c r="F4" i="8"/>
  <c r="F3" i="8"/>
  <c r="F2" i="8"/>
  <c r="F2" i="21"/>
  <c r="D48" i="19"/>
  <c r="D47" i="19"/>
  <c r="D43" i="19"/>
  <c r="D42" i="19"/>
  <c r="D41" i="19"/>
  <c r="D40" i="19"/>
  <c r="D36" i="19"/>
  <c r="D33" i="19"/>
  <c r="D31" i="19"/>
  <c r="D30" i="19"/>
  <c r="D29" i="19"/>
  <c r="D25" i="19"/>
  <c r="D18" i="19"/>
  <c r="D16" i="19"/>
  <c r="D15" i="19"/>
  <c r="D14" i="19"/>
  <c r="D13" i="19"/>
  <c r="D12" i="19"/>
  <c r="D11" i="19"/>
  <c r="D6" i="19"/>
  <c r="D5" i="19"/>
  <c r="D4" i="19"/>
  <c r="D3" i="19"/>
  <c r="D46" i="18"/>
  <c r="D45" i="18"/>
  <c r="D41" i="18"/>
  <c r="D40" i="18"/>
  <c r="D39" i="18"/>
  <c r="D38" i="18"/>
  <c r="D34" i="18"/>
  <c r="D31" i="18"/>
  <c r="D30" i="18"/>
  <c r="D29" i="18"/>
  <c r="D28" i="18"/>
  <c r="D27" i="18"/>
  <c r="D23" i="18"/>
  <c r="D21" i="18"/>
  <c r="D18" i="18"/>
  <c r="D16" i="18"/>
  <c r="D15" i="18"/>
  <c r="D14" i="18"/>
  <c r="D13" i="18"/>
  <c r="D12" i="18"/>
  <c r="D11" i="18"/>
  <c r="D10" i="18"/>
  <c r="D6" i="18"/>
  <c r="D5" i="18"/>
  <c r="D4" i="18"/>
  <c r="D3" i="18"/>
  <c r="D47" i="17"/>
  <c r="D46" i="17"/>
  <c r="D42" i="17"/>
  <c r="D40" i="17"/>
  <c r="D39" i="17"/>
  <c r="D35" i="17"/>
  <c r="D34" i="17"/>
  <c r="D33" i="17"/>
  <c r="D32" i="17"/>
  <c r="D31" i="17"/>
  <c r="D30" i="17"/>
  <c r="D29" i="17"/>
  <c r="D28" i="17"/>
  <c r="D24" i="17"/>
  <c r="D23" i="17"/>
  <c r="D22" i="17"/>
  <c r="D21" i="17"/>
  <c r="D20" i="17"/>
  <c r="D19" i="17"/>
  <c r="D18" i="17"/>
  <c r="D15" i="17"/>
  <c r="D14" i="17"/>
  <c r="D12" i="17"/>
  <c r="D11" i="17"/>
  <c r="D10" i="17"/>
  <c r="D6" i="17"/>
  <c r="D5" i="17"/>
  <c r="D4" i="17"/>
  <c r="D3" i="17"/>
  <c r="D39" i="16"/>
  <c r="D38" i="16"/>
  <c r="D37" i="16"/>
  <c r="D33" i="16"/>
  <c r="D32" i="16"/>
  <c r="D31" i="16"/>
  <c r="D30" i="16"/>
  <c r="D29" i="16"/>
  <c r="D28" i="16"/>
  <c r="D27" i="16"/>
  <c r="D26" i="16"/>
  <c r="D22" i="16"/>
  <c r="D21" i="16"/>
  <c r="D20" i="16"/>
  <c r="D19" i="16"/>
  <c r="D18" i="16"/>
  <c r="D17" i="16"/>
  <c r="D16" i="16"/>
  <c r="D14" i="16"/>
  <c r="D13" i="16"/>
  <c r="D12" i="16"/>
  <c r="D11" i="16"/>
  <c r="D10" i="16"/>
  <c r="D9" i="16"/>
  <c r="D5" i="16"/>
  <c r="D4" i="16"/>
  <c r="D3" i="16"/>
  <c r="D44" i="15"/>
  <c r="D43" i="15"/>
  <c r="D42" i="15"/>
  <c r="D40" i="15"/>
  <c r="D39" i="15"/>
  <c r="D35" i="15"/>
  <c r="D34" i="15"/>
  <c r="D31" i="15"/>
  <c r="D30" i="15"/>
  <c r="D29" i="15"/>
  <c r="D28" i="15"/>
  <c r="D24" i="15"/>
  <c r="D23" i="15"/>
  <c r="D22" i="15"/>
  <c r="D21" i="15"/>
  <c r="D18" i="15"/>
  <c r="D17" i="15"/>
  <c r="D16" i="15"/>
  <c r="D15" i="15"/>
  <c r="D14" i="15"/>
  <c r="D13" i="15"/>
  <c r="D12" i="15"/>
  <c r="D11" i="15"/>
  <c r="D10" i="15"/>
  <c r="D6" i="15"/>
  <c r="D5" i="15"/>
  <c r="D4" i="15"/>
  <c r="D3" i="15"/>
  <c r="D46" i="14"/>
  <c r="D45" i="14"/>
  <c r="D41" i="14"/>
  <c r="D39" i="14"/>
  <c r="D38" i="14"/>
  <c r="D37" i="14"/>
  <c r="D33" i="14"/>
  <c r="D32" i="14"/>
  <c r="D31" i="14"/>
  <c r="D28" i="14"/>
  <c r="D27" i="14"/>
  <c r="D23" i="14"/>
  <c r="D22" i="14"/>
  <c r="D21" i="14"/>
  <c r="D20" i="14"/>
  <c r="D19" i="14"/>
  <c r="D18" i="14"/>
  <c r="D17" i="14"/>
  <c r="D16" i="14"/>
  <c r="D15" i="14"/>
  <c r="D14" i="14"/>
  <c r="D13" i="14"/>
  <c r="D11" i="14"/>
  <c r="D10" i="14"/>
  <c r="D6" i="14"/>
  <c r="D5" i="14"/>
  <c r="D4" i="14"/>
  <c r="D3" i="14"/>
  <c r="D45" i="13"/>
  <c r="D44" i="13"/>
  <c r="D40" i="13"/>
  <c r="D39" i="13"/>
  <c r="D38" i="13"/>
  <c r="D34" i="13"/>
  <c r="D33" i="13"/>
  <c r="D32" i="13"/>
  <c r="D31" i="13"/>
  <c r="D30" i="13"/>
  <c r="D29" i="13"/>
  <c r="D28" i="13"/>
  <c r="D27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6" i="13"/>
  <c r="D5" i="13"/>
  <c r="D4" i="13"/>
  <c r="D3" i="13"/>
  <c r="D46" i="12"/>
  <c r="D45" i="12"/>
  <c r="D41" i="12"/>
  <c r="D40" i="12"/>
  <c r="D39" i="12"/>
  <c r="D38" i="12"/>
  <c r="D34" i="12"/>
  <c r="D32" i="12"/>
  <c r="D31" i="12"/>
  <c r="D30" i="12"/>
  <c r="D29" i="12"/>
  <c r="D28" i="12"/>
  <c r="D27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6" i="12"/>
  <c r="D5" i="12"/>
  <c r="D4" i="12"/>
  <c r="D3" i="12"/>
  <c r="D47" i="11"/>
  <c r="D46" i="11"/>
  <c r="D42" i="11"/>
  <c r="D40" i="11"/>
  <c r="D39" i="11"/>
  <c r="D35" i="11"/>
  <c r="D34" i="11"/>
  <c r="D29" i="11"/>
  <c r="D28" i="11"/>
  <c r="D24" i="11"/>
  <c r="D23" i="11"/>
  <c r="D22" i="11"/>
  <c r="D21" i="11"/>
  <c r="D17" i="11"/>
  <c r="D16" i="11"/>
  <c r="D15" i="11"/>
  <c r="D14" i="11"/>
  <c r="D13" i="11"/>
  <c r="D12" i="11"/>
  <c r="D11" i="11"/>
  <c r="D10" i="11"/>
  <c r="D6" i="11"/>
  <c r="D5" i="11"/>
  <c r="D4" i="11"/>
  <c r="D3" i="11"/>
  <c r="D2" i="11"/>
  <c r="D48" i="10"/>
  <c r="D47" i="10"/>
  <c r="D43" i="10"/>
  <c r="D42" i="10"/>
  <c r="D41" i="10"/>
  <c r="D40" i="10"/>
  <c r="D39" i="10"/>
  <c r="D35" i="10"/>
  <c r="D34" i="10"/>
  <c r="D33" i="10"/>
  <c r="D32" i="10"/>
  <c r="D31" i="10"/>
  <c r="D30" i="10"/>
  <c r="D29" i="10"/>
  <c r="D28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6" i="10"/>
  <c r="D5" i="10"/>
  <c r="D4" i="10"/>
  <c r="D3" i="10"/>
  <c r="D50" i="9"/>
  <c r="D49" i="9"/>
  <c r="D48" i="9"/>
  <c r="D47" i="9"/>
  <c r="D43" i="9"/>
  <c r="D42" i="9"/>
  <c r="D41" i="9"/>
  <c r="D40" i="9"/>
  <c r="D39" i="9"/>
  <c r="D35" i="9"/>
  <c r="D34" i="9"/>
  <c r="D33" i="9"/>
  <c r="D32" i="9"/>
  <c r="D31" i="9"/>
  <c r="D30" i="9"/>
  <c r="D29" i="9"/>
  <c r="D28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6" i="9"/>
  <c r="D5" i="9"/>
  <c r="D4" i="9"/>
  <c r="D3" i="9"/>
  <c r="D2" i="9"/>
  <c r="D48" i="8"/>
  <c r="D47" i="8"/>
  <c r="D46" i="8"/>
  <c r="D42" i="8"/>
  <c r="D41" i="8"/>
  <c r="D40" i="8"/>
  <c r="D39" i="8"/>
  <c r="D36" i="8"/>
  <c r="D35" i="8"/>
  <c r="D34" i="8"/>
  <c r="D33" i="8"/>
  <c r="D32" i="8"/>
  <c r="D31" i="8"/>
  <c r="D30" i="8"/>
  <c r="D29" i="8"/>
  <c r="D28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6" i="8"/>
  <c r="D5" i="8"/>
  <c r="D4" i="8"/>
  <c r="D3" i="8"/>
  <c r="D2" i="19"/>
  <c r="D2" i="18"/>
  <c r="D2" i="17"/>
  <c r="D2" i="16"/>
  <c r="D2" i="15"/>
  <c r="D2" i="14"/>
  <c r="D2" i="13"/>
  <c r="D2" i="12"/>
  <c r="D2" i="10"/>
  <c r="D2" i="8"/>
  <c r="F51" i="6"/>
  <c r="F50" i="6"/>
  <c r="F49" i="6"/>
  <c r="F48" i="6"/>
  <c r="F44" i="6"/>
  <c r="F43" i="6"/>
  <c r="F42" i="6"/>
  <c r="F41" i="6"/>
  <c r="F40" i="6"/>
  <c r="F39" i="6"/>
  <c r="F35" i="6"/>
  <c r="F34" i="6"/>
  <c r="F33" i="6"/>
  <c r="F32" i="6"/>
  <c r="F31" i="6"/>
  <c r="F30" i="6"/>
  <c r="F29" i="6"/>
  <c r="F28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6" i="6"/>
  <c r="F5" i="6"/>
  <c r="F4" i="6"/>
  <c r="F3" i="6"/>
  <c r="D51" i="6"/>
  <c r="D50" i="6"/>
  <c r="D49" i="6"/>
  <c r="D48" i="6"/>
  <c r="D44" i="6"/>
  <c r="D43" i="6"/>
  <c r="D42" i="6"/>
  <c r="D41" i="6"/>
  <c r="D40" i="6"/>
  <c r="D39" i="6"/>
  <c r="D35" i="6"/>
  <c r="D34" i="6"/>
  <c r="D33" i="6"/>
  <c r="D32" i="6"/>
  <c r="D31" i="6"/>
  <c r="D30" i="6"/>
  <c r="D29" i="6"/>
  <c r="D28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3" i="6"/>
  <c r="D4" i="6"/>
  <c r="D5" i="6"/>
  <c r="D6" i="6"/>
  <c r="F2" i="6"/>
  <c r="D2" i="6"/>
  <c r="F3" i="21"/>
  <c r="F4" i="21"/>
  <c r="F6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7" i="21"/>
  <c r="F28" i="21"/>
  <c r="F29" i="21"/>
  <c r="F30" i="21"/>
  <c r="F31" i="21"/>
  <c r="F32" i="21"/>
  <c r="F33" i="21"/>
  <c r="F34" i="21"/>
  <c r="F38" i="21"/>
  <c r="F39" i="21"/>
  <c r="D3" i="21"/>
  <c r="D4" i="21"/>
  <c r="D5" i="21"/>
  <c r="D6" i="21"/>
  <c r="D10" i="21"/>
  <c r="D11" i="21"/>
  <c r="D12" i="21"/>
  <c r="D13" i="21"/>
  <c r="D14" i="21"/>
  <c r="D15" i="21"/>
  <c r="D16" i="21"/>
  <c r="D17" i="21"/>
  <c r="D18" i="21"/>
  <c r="D19" i="21"/>
  <c r="D21" i="21"/>
  <c r="D22" i="21"/>
  <c r="D23" i="21"/>
  <c r="D27" i="21"/>
  <c r="D28" i="21"/>
  <c r="D29" i="21"/>
  <c r="D30" i="21"/>
  <c r="D31" i="21"/>
  <c r="D32" i="21"/>
  <c r="D34" i="21"/>
  <c r="D38" i="21"/>
  <c r="D39" i="21"/>
  <c r="D43" i="21"/>
  <c r="D44" i="21"/>
  <c r="D2" i="21"/>
  <c r="H6" i="8"/>
  <c r="H5" i="8"/>
  <c r="H4" i="8"/>
  <c r="H3" i="8"/>
</calcChain>
</file>

<file path=xl/sharedStrings.xml><?xml version="1.0" encoding="utf-8"?>
<sst xmlns="http://schemas.openxmlformats.org/spreadsheetml/2006/main" count="1209" uniqueCount="45">
  <si>
    <t>Row Labels</t>
  </si>
  <si>
    <t>Grand Total</t>
  </si>
  <si>
    <t>VEG - HYBRID</t>
  </si>
  <si>
    <t>BRINJAL</t>
  </si>
  <si>
    <t>COWPEA</t>
  </si>
  <si>
    <t>BEANS</t>
  </si>
  <si>
    <t>BOTTLE GOURD</t>
  </si>
  <si>
    <t>RIDGE GOURD</t>
  </si>
  <si>
    <t>OKRA</t>
  </si>
  <si>
    <t>BITTER GOURD</t>
  </si>
  <si>
    <t>VEG - OP</t>
  </si>
  <si>
    <t>SPINACH ALL GREEN</t>
  </si>
  <si>
    <t>CHILLY</t>
  </si>
  <si>
    <t>CUCUMBER</t>
  </si>
  <si>
    <t>CORIANDER</t>
  </si>
  <si>
    <t>COTTON</t>
  </si>
  <si>
    <t>CABBAGE</t>
  </si>
  <si>
    <t>WATER MELON</t>
  </si>
  <si>
    <t>FIELD CROP</t>
  </si>
  <si>
    <t>MAIZE</t>
  </si>
  <si>
    <t>TOMATO</t>
  </si>
  <si>
    <t>SPONGE GOURD</t>
  </si>
  <si>
    <t>RADISH</t>
  </si>
  <si>
    <t>CLUSTER BEANS</t>
  </si>
  <si>
    <t>BEETROOT</t>
  </si>
  <si>
    <t>FIELD CROP - OP</t>
  </si>
  <si>
    <t>PADDY</t>
  </si>
  <si>
    <t>BAJRA</t>
  </si>
  <si>
    <t>BERSEEM</t>
  </si>
  <si>
    <t>GRASS</t>
  </si>
  <si>
    <t>MUSTARD</t>
  </si>
  <si>
    <t>Nov-March 2025</t>
  </si>
  <si>
    <t>Total</t>
  </si>
  <si>
    <t>% Growth 24-25</t>
  </si>
  <si>
    <t>% Growth 25-26</t>
  </si>
  <si>
    <t>Growth % 24-25</t>
  </si>
  <si>
    <t>Growth % 25-26</t>
  </si>
  <si>
    <t>Veg-Hy</t>
  </si>
  <si>
    <t>Veg-OP</t>
  </si>
  <si>
    <t>FC</t>
  </si>
  <si>
    <t>FC-OP</t>
  </si>
  <si>
    <t>NET SALE 23-24</t>
  </si>
  <si>
    <t>NET SALE 24-25</t>
  </si>
  <si>
    <t>NET SALE 25-26 (Upto 14-11-25)</t>
  </si>
  <si>
    <t>NET SALE 25-26 (UPTO 14 NOV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</si>
</sst>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4" fontId="2" fillId="2" borderId="1" xfId="0" applyNumberFormat="1" applyFont="1" applyFill="1" applyBorder="1"/>
    <xf numFmtId="164" fontId="0" fillId="0" borderId="1" xfId="0" applyNumberFormat="1" applyBorder="1"/>
    <xf numFmtId="9" fontId="0" fillId="0" borderId="1" xfId="1" applyFont="1" applyBorder="1"/>
    <xf numFmtId="0" fontId="0" fillId="0" borderId="1" xfId="0" applyBorder="1"/>
    <xf numFmtId="0" fontId="2" fillId="2" borderId="1" xfId="0" applyFont="1" applyFill="1" applyBorder="1"/>
    <xf numFmtId="1" fontId="0" fillId="0" borderId="1" xfId="0" applyNumberFormat="1" applyBorder="1"/>
    <xf numFmtId="164" fontId="2" fillId="0" borderId="0" xfId="0" applyNumberFormat="1" applyFont="1"/>
    <xf numFmtId="9" fontId="2" fillId="0" borderId="0" xfId="1" applyFont="1"/>
    <xf numFmtId="0" fontId="2" fillId="0" borderId="0" xfId="0" applyFont="1"/>
    <xf numFmtId="164" fontId="2" fillId="0" borderId="0" xfId="0" applyNumberFormat="1" applyFont="1" applyBorder="1"/>
    <xf numFmtId="164" fontId="0" fillId="0" borderId="0" xfId="0" applyNumberFormat="1" applyBorder="1"/>
    <xf numFmtId="164" fontId="2" fillId="3" borderId="1" xfId="0" applyNumberFormat="1" applyFont="1" applyFill="1" applyBorder="1"/>
    <xf numFmtId="9" fontId="2" fillId="3" borderId="1" xfId="1" applyFon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Group 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Gujrat!$B$1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Gujrat!$A$2:$A$4</c:f>
              <c:strCache>
                <c:ptCount val="3"/>
                <c:pt idx="0">
                  <c:v>VEG - HYBRID</c:v>
                </c:pt>
                <c:pt idx="1">
                  <c:v>FIELD CROP</c:v>
                </c:pt>
                <c:pt idx="2">
                  <c:v>VEG - OP</c:v>
                </c:pt>
              </c:strCache>
            </c:strRef>
          </c:cat>
          <c:val>
            <c:numRef>
              <c:f>Gujrat!$B$2:$B$4</c:f>
              <c:numCache>
                <c:formatCode>0</c:formatCode>
                <c:ptCount val="3"/>
                <c:pt idx="0">
                  <c:v>95.316002199999957</c:v>
                </c:pt>
                <c:pt idx="1">
                  <c:v>34.794649999999997</c:v>
                </c:pt>
                <c:pt idx="2">
                  <c:v>3.9555778000000004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E-490C-8E55-E72D885D8282}"/>
            </c:ext>
          </c:extLst>
        </c:ser>
        <c:ser>
          <c:idx val="1"/>
          <c:order val="1"/>
          <c:tx>
            <c:strRef>
              <c:f>Gujrat!$C$1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Gujrat!$A$2:$A$4</c:f>
              <c:strCache>
                <c:ptCount val="3"/>
                <c:pt idx="0">
                  <c:v>VEG - HYBRID</c:v>
                </c:pt>
                <c:pt idx="1">
                  <c:v>FIELD CROP</c:v>
                </c:pt>
                <c:pt idx="2">
                  <c:v>VEG - OP</c:v>
                </c:pt>
              </c:strCache>
            </c:strRef>
          </c:cat>
          <c:val>
            <c:numRef>
              <c:f>Gujrat!$C$2:$C$4</c:f>
              <c:numCache>
                <c:formatCode>0</c:formatCode>
                <c:ptCount val="3"/>
                <c:pt idx="0">
                  <c:v>219.88748750000011</c:v>
                </c:pt>
                <c:pt idx="1">
                  <c:v>29.751044100000001</c:v>
                </c:pt>
                <c:pt idx="2">
                  <c:v>6.8720584000000011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E-490C-8E55-E72D885D8282}"/>
            </c:ext>
          </c:extLst>
        </c:ser>
        <c:ser>
          <c:idx val="2"/>
          <c:order val="2"/>
          <c:tx>
            <c:strRef>
              <c:f>Gujrat!$E$1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Gujrat!$A$2:$A$4</c:f>
              <c:strCache>
                <c:ptCount val="3"/>
                <c:pt idx="0">
                  <c:v>VEG - HYBRID</c:v>
                </c:pt>
                <c:pt idx="1">
                  <c:v>FIELD CROP</c:v>
                </c:pt>
                <c:pt idx="2">
                  <c:v>VEG - OP</c:v>
                </c:pt>
              </c:strCache>
            </c:strRef>
          </c:cat>
          <c:val>
            <c:numRef>
              <c:f>Gujrat!$E$2:$E$4</c:f>
              <c:numCache>
                <c:formatCode>0</c:formatCode>
                <c:ptCount val="3"/>
                <c:pt idx="0">
                  <c:v>144.087615</c:v>
                </c:pt>
                <c:pt idx="1">
                  <c:v>30.524850499999999</c:v>
                </c:pt>
                <c:pt idx="2">
                  <c:v>7.2927044999999993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E-490C-8E55-E72D885D8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3267903"/>
        <c:axId val="853284703"/>
      </c:barChart>
      <c:catAx>
        <c:axId val="8532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84703"/>
        <c:crosses val="autoZero"/>
        <c:auto val="1"/>
        <c:lblAlgn val="ctr"/>
        <c:lblOffset val="100"/>
        <c:noMultiLvlLbl val="0"/>
      </c:catAx>
      <c:valAx>
        <c:axId val="85328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(Veg-Hy)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Gujrat!$B$9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Gujrat!$A$10:$A$19</c:f>
              <c:strCache>
                <c:ptCount val="10"/>
                <c:pt idx="0">
                  <c:v>COWPEA</c:v>
                </c:pt>
                <c:pt idx="1">
                  <c:v>OKRA</c:v>
                </c:pt>
                <c:pt idx="2">
                  <c:v>BRINJAL</c:v>
                </c:pt>
                <c:pt idx="3">
                  <c:v>BEANS</c:v>
                </c:pt>
                <c:pt idx="4">
                  <c:v>CUCUMBER</c:v>
                </c:pt>
                <c:pt idx="5">
                  <c:v>BITTER GOURD</c:v>
                </c:pt>
                <c:pt idx="6">
                  <c:v>BOTTLE GOURD</c:v>
                </c:pt>
                <c:pt idx="7">
                  <c:v>CABBAGE</c:v>
                </c:pt>
                <c:pt idx="8">
                  <c:v>BEETROOT</c:v>
                </c:pt>
                <c:pt idx="9">
                  <c:v>TOMATO</c:v>
                </c:pt>
              </c:strCache>
            </c:strRef>
          </c:cat>
          <c:val>
            <c:numRef>
              <c:f>Gujrat!$B$10:$B$19</c:f>
              <c:numCache>
                <c:formatCode>0</c:formatCode>
                <c:ptCount val="10"/>
                <c:pt idx="0">
                  <c:v>61.321669200000002</c:v>
                </c:pt>
                <c:pt idx="1">
                  <c:v>18.910055999999997</c:v>
                </c:pt>
                <c:pt idx="2">
                  <c:v>2.9528775999999999</c:v>
                </c:pt>
                <c:pt idx="3">
                  <c:v>5.2976221999999993</c:v>
                </c:pt>
                <c:pt idx="4">
                  <c:v>1.6074060000000001</c:v>
                </c:pt>
                <c:pt idx="5">
                  <c:v>0.89620570000000011</c:v>
                </c:pt>
                <c:pt idx="6">
                  <c:v>1.3754898999999998</c:v>
                </c:pt>
                <c:pt idx="7">
                  <c:v>0.72104899999999994</c:v>
                </c:pt>
                <c:pt idx="8">
                  <c:v>0</c:v>
                </c:pt>
                <c:pt idx="9">
                  <c:v>3.1350000000000003E-2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F-4632-895F-17D19E4C2C17}"/>
            </c:ext>
          </c:extLst>
        </c:ser>
        <c:ser>
          <c:idx val="1"/>
          <c:order val="1"/>
          <c:tx>
            <c:strRef>
              <c:f>Gujrat!$C$9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Gujrat!$A$10:$A$19</c:f>
              <c:strCache>
                <c:ptCount val="10"/>
                <c:pt idx="0">
                  <c:v>COWPEA</c:v>
                </c:pt>
                <c:pt idx="1">
                  <c:v>OKRA</c:v>
                </c:pt>
                <c:pt idx="2">
                  <c:v>BRINJAL</c:v>
                </c:pt>
                <c:pt idx="3">
                  <c:v>BEANS</c:v>
                </c:pt>
                <c:pt idx="4">
                  <c:v>CUCUMBER</c:v>
                </c:pt>
                <c:pt idx="5">
                  <c:v>BITTER GOURD</c:v>
                </c:pt>
                <c:pt idx="6">
                  <c:v>BOTTLE GOURD</c:v>
                </c:pt>
                <c:pt idx="7">
                  <c:v>CABBAGE</c:v>
                </c:pt>
                <c:pt idx="8">
                  <c:v>BEETROOT</c:v>
                </c:pt>
                <c:pt idx="9">
                  <c:v>TOMATO</c:v>
                </c:pt>
              </c:strCache>
            </c:strRef>
          </c:cat>
          <c:val>
            <c:numRef>
              <c:f>Gujrat!$C$10:$C$19</c:f>
              <c:numCache>
                <c:formatCode>0</c:formatCode>
                <c:ptCount val="10"/>
                <c:pt idx="0">
                  <c:v>187.40904260000002</c:v>
                </c:pt>
                <c:pt idx="1">
                  <c:v>3.4702694999999997</c:v>
                </c:pt>
                <c:pt idx="2">
                  <c:v>2.9588726999999997</c:v>
                </c:pt>
                <c:pt idx="3">
                  <c:v>14.941154400000002</c:v>
                </c:pt>
                <c:pt idx="4">
                  <c:v>1.6719783000000001</c:v>
                </c:pt>
                <c:pt idx="5">
                  <c:v>2.3209811</c:v>
                </c:pt>
                <c:pt idx="6">
                  <c:v>3.9602535999999993</c:v>
                </c:pt>
                <c:pt idx="7">
                  <c:v>1.557051</c:v>
                </c:pt>
                <c:pt idx="8">
                  <c:v>0</c:v>
                </c:pt>
                <c:pt idx="9">
                  <c:v>0.59565000000000001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F-4632-895F-17D19E4C2C17}"/>
            </c:ext>
          </c:extLst>
        </c:ser>
        <c:ser>
          <c:idx val="2"/>
          <c:order val="2"/>
          <c:tx>
            <c:strRef>
              <c:f>Gujrat!$E$9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Gujrat!$A$10:$A$19</c:f>
              <c:strCache>
                <c:ptCount val="10"/>
                <c:pt idx="0">
                  <c:v>COWPEA</c:v>
                </c:pt>
                <c:pt idx="1">
                  <c:v>OKRA</c:v>
                </c:pt>
                <c:pt idx="2">
                  <c:v>BRINJAL</c:v>
                </c:pt>
                <c:pt idx="3">
                  <c:v>BEANS</c:v>
                </c:pt>
                <c:pt idx="4">
                  <c:v>CUCUMBER</c:v>
                </c:pt>
                <c:pt idx="5">
                  <c:v>BITTER GOURD</c:v>
                </c:pt>
                <c:pt idx="6">
                  <c:v>BOTTLE GOURD</c:v>
                </c:pt>
                <c:pt idx="7">
                  <c:v>CABBAGE</c:v>
                </c:pt>
                <c:pt idx="8">
                  <c:v>BEETROOT</c:v>
                </c:pt>
                <c:pt idx="9">
                  <c:v>TOMATO</c:v>
                </c:pt>
              </c:strCache>
            </c:strRef>
          </c:cat>
          <c:val>
            <c:numRef>
              <c:f>Gujrat!$E$10:$E$19</c:f>
              <c:numCache>
                <c:formatCode>0</c:formatCode>
                <c:ptCount val="10"/>
                <c:pt idx="0">
                  <c:v>55.676690599999993</c:v>
                </c:pt>
                <c:pt idx="1">
                  <c:v>27.952052399999996</c:v>
                </c:pt>
                <c:pt idx="2">
                  <c:v>25.3466284</c:v>
                </c:pt>
                <c:pt idx="3">
                  <c:v>23.929586499999999</c:v>
                </c:pt>
                <c:pt idx="4">
                  <c:v>2.8061151</c:v>
                </c:pt>
                <c:pt idx="5">
                  <c:v>2.3359673999999999</c:v>
                </c:pt>
                <c:pt idx="6">
                  <c:v>1.9251762999999997</c:v>
                </c:pt>
                <c:pt idx="7">
                  <c:v>1.3375999999999999</c:v>
                </c:pt>
                <c:pt idx="8">
                  <c:v>0.98799999999999999</c:v>
                </c:pt>
                <c:pt idx="9">
                  <c:v>0.79419679999999993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F-4632-895F-17D19E4C2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7708223"/>
        <c:axId val="1197706783"/>
      </c:barChart>
      <c:catAx>
        <c:axId val="119770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06783"/>
        <c:crosses val="autoZero"/>
        <c:auto val="1"/>
        <c:lblAlgn val="ctr"/>
        <c:lblOffset val="100"/>
        <c:noMultiLvlLbl val="0"/>
      </c:catAx>
      <c:valAx>
        <c:axId val="11977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0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(Veg-OP)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Gujrat!$B$27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Gujrat!$A$28:$A$31</c:f>
              <c:strCache>
                <c:ptCount val="4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BEANS</c:v>
                </c:pt>
              </c:strCache>
            </c:strRef>
          </c:cat>
          <c:val>
            <c:numRef>
              <c:f>Gujrat!$B$28:$B$31</c:f>
              <c:numCache>
                <c:formatCode>0</c:formatCode>
                <c:ptCount val="4"/>
                <c:pt idx="0">
                  <c:v>2.4292132</c:v>
                </c:pt>
                <c:pt idx="1">
                  <c:v>1.1016054000000002</c:v>
                </c:pt>
                <c:pt idx="2">
                  <c:v>5.5800000000000002E-2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7-40E1-9A99-91BBF0014770}"/>
            </c:ext>
          </c:extLst>
        </c:ser>
        <c:ser>
          <c:idx val="1"/>
          <c:order val="1"/>
          <c:tx>
            <c:strRef>
              <c:f>Gujrat!$C$27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Gujrat!$A$28:$A$31</c:f>
              <c:strCache>
                <c:ptCount val="4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BEANS</c:v>
                </c:pt>
              </c:strCache>
            </c:strRef>
          </c:cat>
          <c:val>
            <c:numRef>
              <c:f>Gujrat!$C$28:$C$31</c:f>
              <c:numCache>
                <c:formatCode>0</c:formatCode>
                <c:ptCount val="4"/>
                <c:pt idx="0">
                  <c:v>3.7410027000000001</c:v>
                </c:pt>
                <c:pt idx="1">
                  <c:v>1.8828</c:v>
                </c:pt>
                <c:pt idx="2">
                  <c:v>0.52173000000000003</c:v>
                </c:pt>
                <c:pt idx="3">
                  <c:v>0.18584999999999999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7-40E1-9A99-91BBF0014770}"/>
            </c:ext>
          </c:extLst>
        </c:ser>
        <c:ser>
          <c:idx val="2"/>
          <c:order val="2"/>
          <c:tx>
            <c:strRef>
              <c:f>Gujrat!$E$27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Gujrat!$A$28:$A$31</c:f>
              <c:strCache>
                <c:ptCount val="4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BEANS</c:v>
                </c:pt>
              </c:strCache>
            </c:strRef>
          </c:cat>
          <c:val>
            <c:numRef>
              <c:f>Gujrat!$E$28:$E$31</c:f>
              <c:numCache>
                <c:formatCode>0</c:formatCode>
                <c:ptCount val="4"/>
                <c:pt idx="0">
                  <c:v>4.1760009999999994</c:v>
                </c:pt>
                <c:pt idx="1">
                  <c:v>1.4166010999999998</c:v>
                </c:pt>
                <c:pt idx="2">
                  <c:v>0.66960050000000004</c:v>
                </c:pt>
                <c:pt idx="3">
                  <c:v>0.59850000000000003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7-40E1-9A99-91BBF0014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0057391"/>
        <c:axId val="2020054511"/>
      </c:barChart>
      <c:catAx>
        <c:axId val="202005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054511"/>
        <c:crosses val="autoZero"/>
        <c:auto val="1"/>
        <c:lblAlgn val="ctr"/>
        <c:lblOffset val="100"/>
        <c:noMultiLvlLbl val="0"/>
      </c:catAx>
      <c:valAx>
        <c:axId val="20200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05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(FC)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Gujrat!$B$37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Gujrat!$A$38:$A$40</c:f>
              <c:strCache>
                <c:ptCount val="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</c:strCache>
            </c:strRef>
          </c:cat>
          <c:val>
            <c:numRef>
              <c:f>Gujrat!$B$38:$B$40</c:f>
              <c:numCache>
                <c:formatCode>0</c:formatCode>
                <c:ptCount val="3"/>
                <c:pt idx="0">
                  <c:v>22.996880000000001</c:v>
                </c:pt>
                <c:pt idx="1">
                  <c:v>2.5462899999999999</c:v>
                </c:pt>
                <c:pt idx="2">
                  <c:v>9.2514800000000008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0-464F-8A3B-6C2A13CCACD5}"/>
            </c:ext>
          </c:extLst>
        </c:ser>
        <c:ser>
          <c:idx val="1"/>
          <c:order val="1"/>
          <c:tx>
            <c:strRef>
              <c:f>Gujrat!$C$37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Gujrat!$A$38:$A$40</c:f>
              <c:strCache>
                <c:ptCount val="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</c:strCache>
            </c:strRef>
          </c:cat>
          <c:val>
            <c:numRef>
              <c:f>Gujrat!$C$38:$C$40</c:f>
              <c:numCache>
                <c:formatCode>0</c:formatCode>
                <c:ptCount val="3"/>
                <c:pt idx="0">
                  <c:v>21.53088</c:v>
                </c:pt>
                <c:pt idx="1">
                  <c:v>0</c:v>
                </c:pt>
                <c:pt idx="2">
                  <c:v>8.2201640999999999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0-464F-8A3B-6C2A13CCACD5}"/>
            </c:ext>
          </c:extLst>
        </c:ser>
        <c:ser>
          <c:idx val="2"/>
          <c:order val="2"/>
          <c:tx>
            <c:strRef>
              <c:f>Gujrat!$E$37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Gujrat!$A$38:$A$40</c:f>
              <c:strCache>
                <c:ptCount val="3"/>
                <c:pt idx="0">
                  <c:v>COTTON</c:v>
                </c:pt>
                <c:pt idx="1">
                  <c:v>PADDY</c:v>
                </c:pt>
                <c:pt idx="2">
                  <c:v>MAIZE</c:v>
                </c:pt>
              </c:strCache>
            </c:strRef>
          </c:cat>
          <c:val>
            <c:numRef>
              <c:f>Gujrat!$E$38:$E$40</c:f>
              <c:numCache>
                <c:formatCode>0</c:formatCode>
                <c:ptCount val="3"/>
                <c:pt idx="0">
                  <c:v>13.055490499999998</c:v>
                </c:pt>
                <c:pt idx="1">
                  <c:v>9.8085599999999999</c:v>
                </c:pt>
                <c:pt idx="2">
                  <c:v>7.6608000000000001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0-464F-8A3B-6C2A13CCA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0539391"/>
        <c:axId val="1780537951"/>
      </c:barChart>
      <c:catAx>
        <c:axId val="17805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37951"/>
        <c:crosses val="autoZero"/>
        <c:auto val="1"/>
        <c:lblAlgn val="ctr"/>
        <c:lblOffset val="100"/>
        <c:noMultiLvlLbl val="0"/>
      </c:catAx>
      <c:valAx>
        <c:axId val="17805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Net</a:t>
            </a:r>
            <a:r>
              <a:rPr lang="en-IN" b="1" baseline="0"/>
              <a:t> Sale by Crop Name (Veg-Hy)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Yavatmal!$B$1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Yavatmal!$A$2:$A$4</c:f>
              <c:strCache>
                <c:ptCount val="3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</c:strCache>
            </c:strRef>
          </c:cat>
          <c:val>
            <c:numRef>
              <c:f>Yavatmal!$B$2:$B$4</c:f>
              <c:numCache>
                <c:formatCode>0</c:formatCode>
                <c:ptCount val="3"/>
                <c:pt idx="0">
                  <c:v>15.7805</c:v>
                </c:pt>
                <c:pt idx="1">
                  <c:v>3.9827554000000012</c:v>
                </c:pt>
                <c:pt idx="2">
                  <c:v>0.25583460000000002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9-4A70-B118-83495EEEEF5D}"/>
            </c:ext>
          </c:extLst>
        </c:ser>
        <c:ser>
          <c:idx val="1"/>
          <c:order val="1"/>
          <c:tx>
            <c:strRef>
              <c:f>Yavatmal!$C$1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Yavatmal!$A$2:$A$4</c:f>
              <c:strCache>
                <c:ptCount val="3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</c:strCache>
            </c:strRef>
          </c:cat>
          <c:val>
            <c:numRef>
              <c:f>Yavatmal!$C$2:$C$4</c:f>
              <c:numCache>
                <c:formatCode>0</c:formatCode>
                <c:ptCount val="3"/>
                <c:pt idx="0">
                  <c:v>17.997119999999999</c:v>
                </c:pt>
                <c:pt idx="1">
                  <c:v>3.9058090000000001</c:v>
                </c:pt>
                <c:pt idx="2">
                  <c:v>0.11791099999999999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9-4A70-B118-83495EEEEF5D}"/>
            </c:ext>
          </c:extLst>
        </c:ser>
        <c:ser>
          <c:idx val="2"/>
          <c:order val="2"/>
          <c:tx>
            <c:strRef>
              <c:f>Yavatmal!$E$1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Yavatmal!$A$2:$A$4</c:f>
              <c:strCache>
                <c:ptCount val="3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</c:strCache>
            </c:strRef>
          </c:cat>
          <c:val>
            <c:numRef>
              <c:f>Yavatmal!$E$2:$E$4</c:f>
              <c:numCache>
                <c:formatCode>0</c:formatCode>
                <c:ptCount val="3"/>
                <c:pt idx="0">
                  <c:v>12.812216200000002</c:v>
                </c:pt>
                <c:pt idx="1">
                  <c:v>5.9487218000000004</c:v>
                </c:pt>
                <c:pt idx="2">
                  <c:v>0.26100200000000001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9-4A70-B118-83495EEEE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008592"/>
        <c:axId val="925995152"/>
      </c:barChart>
      <c:catAx>
        <c:axId val="926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995152"/>
        <c:crosses val="autoZero"/>
        <c:auto val="1"/>
        <c:lblAlgn val="ctr"/>
        <c:lblOffset val="100"/>
        <c:noMultiLvlLbl val="0"/>
      </c:catAx>
      <c:valAx>
        <c:axId val="9259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Yavatmal!$B$8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Yavatmal!$A$9:$A$11</c:f>
              <c:strCache>
                <c:ptCount val="3"/>
                <c:pt idx="0">
                  <c:v>COWPEA</c:v>
                </c:pt>
                <c:pt idx="1">
                  <c:v>BEANS</c:v>
                </c:pt>
                <c:pt idx="2">
                  <c:v>BITTER GOURD</c:v>
                </c:pt>
              </c:strCache>
            </c:strRef>
          </c:cat>
          <c:val>
            <c:numRef>
              <c:f>Yavatmal!$B$9:$B$11</c:f>
              <c:numCache>
                <c:formatCode>0</c:formatCode>
                <c:ptCount val="3"/>
                <c:pt idx="0">
                  <c:v>1.8391537</c:v>
                </c:pt>
                <c:pt idx="1">
                  <c:v>0.93178389999999989</c:v>
                </c:pt>
                <c:pt idx="2">
                  <c:v>0.33997900000000003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9-4895-BE61-C3204BCB271C}"/>
            </c:ext>
          </c:extLst>
        </c:ser>
        <c:ser>
          <c:idx val="1"/>
          <c:order val="1"/>
          <c:tx>
            <c:strRef>
              <c:f>Yavatmal!$C$8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Yavatmal!$A$9:$A$11</c:f>
              <c:strCache>
                <c:ptCount val="3"/>
                <c:pt idx="0">
                  <c:v>COWPEA</c:v>
                </c:pt>
                <c:pt idx="1">
                  <c:v>BEANS</c:v>
                </c:pt>
                <c:pt idx="2">
                  <c:v>BITTER GOURD</c:v>
                </c:pt>
              </c:strCache>
            </c:strRef>
          </c:cat>
          <c:val>
            <c:numRef>
              <c:f>Yavatmal!$C$9:$C$11</c:f>
              <c:numCache>
                <c:formatCode>0</c:formatCode>
                <c:ptCount val="3"/>
                <c:pt idx="0">
                  <c:v>2.0312991</c:v>
                </c:pt>
                <c:pt idx="1">
                  <c:v>0.84607369999999993</c:v>
                </c:pt>
                <c:pt idx="2">
                  <c:v>0.70637110000000003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9-4895-BE61-C3204BCB271C}"/>
            </c:ext>
          </c:extLst>
        </c:ser>
        <c:ser>
          <c:idx val="2"/>
          <c:order val="2"/>
          <c:tx>
            <c:strRef>
              <c:f>Yavatmal!$E$8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Yavatmal!$A$9:$A$11</c:f>
              <c:strCache>
                <c:ptCount val="3"/>
                <c:pt idx="0">
                  <c:v>COWPEA</c:v>
                </c:pt>
                <c:pt idx="1">
                  <c:v>BEANS</c:v>
                </c:pt>
                <c:pt idx="2">
                  <c:v>BITTER GOURD</c:v>
                </c:pt>
              </c:strCache>
            </c:strRef>
          </c:cat>
          <c:val>
            <c:numRef>
              <c:f>Yavatmal!$E$9:$E$11</c:f>
              <c:numCache>
                <c:formatCode>0</c:formatCode>
                <c:ptCount val="3"/>
                <c:pt idx="0">
                  <c:v>2.9385052000000003</c:v>
                </c:pt>
                <c:pt idx="1">
                  <c:v>1.7879143</c:v>
                </c:pt>
                <c:pt idx="2">
                  <c:v>0.60385909999999998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89-4895-BE61-C3204BCB2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024432"/>
        <c:axId val="926022512"/>
      </c:barChart>
      <c:catAx>
        <c:axId val="92602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2512"/>
        <c:crosses val="autoZero"/>
        <c:auto val="1"/>
        <c:lblAlgn val="ctr"/>
        <c:lblOffset val="100"/>
        <c:noMultiLvlLbl val="0"/>
      </c:catAx>
      <c:valAx>
        <c:axId val="92602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Yavatmal!$A$26:$A$29</c:f>
              <c:strCache>
                <c:ptCount val="4"/>
                <c:pt idx="0">
                  <c:v>CORIANDER</c:v>
                </c:pt>
                <c:pt idx="1">
                  <c:v>BEANS</c:v>
                </c:pt>
                <c:pt idx="2">
                  <c:v>COWPEA</c:v>
                </c:pt>
                <c:pt idx="3">
                  <c:v>SPINACH ALL GREEN</c:v>
                </c:pt>
              </c:strCache>
            </c:strRef>
          </c:cat>
          <c:val>
            <c:numRef>
              <c:f>Yavatmal!$B$26:$B$29</c:f>
              <c:numCache>
                <c:formatCode>0</c:formatCode>
                <c:ptCount val="4"/>
                <c:pt idx="0">
                  <c:v>9.9000000000000005E-2</c:v>
                </c:pt>
                <c:pt idx="1">
                  <c:v>4.4600000000000001E-2</c:v>
                </c:pt>
                <c:pt idx="2">
                  <c:v>9.4500000000000001E-3</c:v>
                </c:pt>
                <c:pt idx="3">
                  <c:v>9.1804200000000002E-2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754-A1A0-026134DCDC1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6DA-4754-A1A0-026134DCD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Yavatmal!$A$26:$A$29</c:f>
              <c:strCache>
                <c:ptCount val="4"/>
                <c:pt idx="0">
                  <c:v>CORIANDER</c:v>
                </c:pt>
                <c:pt idx="1">
                  <c:v>BEANS</c:v>
                </c:pt>
                <c:pt idx="2">
                  <c:v>COWPEA</c:v>
                </c:pt>
                <c:pt idx="3">
                  <c:v>SPINACH ALL GREEN</c:v>
                </c:pt>
              </c:strCache>
            </c:strRef>
          </c:cat>
          <c:val>
            <c:numRef>
              <c:f>Yavatmal!$C$26:$C$29</c:f>
              <c:numCache>
                <c:formatCode>0</c:formatCode>
                <c:ptCount val="4"/>
                <c:pt idx="0">
                  <c:v>-4.437E-2</c:v>
                </c:pt>
                <c:pt idx="1">
                  <c:v>7.4438199999999996E-2</c:v>
                </c:pt>
                <c:pt idx="2">
                  <c:v>9.4500000000000001E-3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754-A1A0-026134DCDC1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Yavatmal!$A$26:$A$29</c:f>
              <c:strCache>
                <c:ptCount val="4"/>
                <c:pt idx="0">
                  <c:v>CORIANDER</c:v>
                </c:pt>
                <c:pt idx="1">
                  <c:v>BEANS</c:v>
                </c:pt>
                <c:pt idx="2">
                  <c:v>COWPEA</c:v>
                </c:pt>
                <c:pt idx="3">
                  <c:v>SPINACH ALL GREEN</c:v>
                </c:pt>
              </c:strCache>
            </c:strRef>
          </c:cat>
          <c:val>
            <c:numRef>
              <c:f>Yavatmal!$E$26:$E$29</c:f>
              <c:numCache>
                <c:formatCode>0</c:formatCode>
                <c:ptCount val="4"/>
                <c:pt idx="0">
                  <c:v>8.5500000000000007E-2</c:v>
                </c:pt>
                <c:pt idx="1">
                  <c:v>7.4429999999999996E-2</c:v>
                </c:pt>
                <c:pt idx="2">
                  <c:v>4.1849999999999998E-2</c:v>
                </c:pt>
                <c:pt idx="3">
                  <c:v>3.15E-2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A-4754-A1A0-026134DCDC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002352"/>
        <c:axId val="926008112"/>
      </c:barChart>
      <c:catAx>
        <c:axId val="92600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08112"/>
        <c:crosses val="autoZero"/>
        <c:auto val="1"/>
        <c:lblAlgn val="ctr"/>
        <c:lblOffset val="100"/>
        <c:noMultiLvlLbl val="0"/>
      </c:catAx>
      <c:valAx>
        <c:axId val="9260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0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Yavatmal!$B$36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Yavatmal!$A$37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Yavatmal!$B$37</c:f>
              <c:numCache>
                <c:formatCode>0</c:formatCode>
                <c:ptCount val="1"/>
                <c:pt idx="0">
                  <c:v>15.7805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9-4C1D-B907-914B41BF5409}"/>
            </c:ext>
          </c:extLst>
        </c:ser>
        <c:ser>
          <c:idx val="1"/>
          <c:order val="1"/>
          <c:tx>
            <c:strRef>
              <c:f>Yavatmal!$C$36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Yavatmal!$A$37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Yavatmal!$C$37</c:f>
              <c:numCache>
                <c:formatCode>0</c:formatCode>
                <c:ptCount val="1"/>
                <c:pt idx="0">
                  <c:v>17.997119999999999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9-4C1D-B907-914B41BF5409}"/>
            </c:ext>
          </c:extLst>
        </c:ser>
        <c:ser>
          <c:idx val="2"/>
          <c:order val="2"/>
          <c:tx>
            <c:strRef>
              <c:f>Yavatmal!$E$36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Yavatmal!$A$37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Yavatmal!$E$37</c:f>
              <c:numCache>
                <c:formatCode>0</c:formatCode>
                <c:ptCount val="1"/>
                <c:pt idx="0">
                  <c:v>12.812216200000002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9-4C1D-B907-914B41BF5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020592"/>
        <c:axId val="926007152"/>
      </c:barChart>
      <c:catAx>
        <c:axId val="9260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07152"/>
        <c:crosses val="autoZero"/>
        <c:auto val="1"/>
        <c:lblAlgn val="ctr"/>
        <c:lblOffset val="100"/>
        <c:noMultiLvlLbl val="0"/>
      </c:catAx>
      <c:valAx>
        <c:axId val="92600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Net Sale by Crop Group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Wardha!$B$1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Wardha!$B$2:$B$5</c:f>
              <c:numCache>
                <c:formatCode>###,###,###</c:formatCode>
                <c:ptCount val="4"/>
                <c:pt idx="0">
                  <c:v>259.66742620000002</c:v>
                </c:pt>
                <c:pt idx="1">
                  <c:v>16.667558500000002</c:v>
                </c:pt>
                <c:pt idx="2">
                  <c:v>4.5994353000000006</c:v>
                </c:pt>
                <c:pt idx="3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E-42C2-961A-146B660123A6}"/>
            </c:ext>
          </c:extLst>
        </c:ser>
        <c:ser>
          <c:idx val="1"/>
          <c:order val="1"/>
          <c:tx>
            <c:strRef>
              <c:f>Wardha!$C$1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Wardha!$C$2:$C$5</c:f>
              <c:numCache>
                <c:formatCode>###,###,###</c:formatCode>
                <c:ptCount val="4"/>
                <c:pt idx="0">
                  <c:v>274.15611000000001</c:v>
                </c:pt>
                <c:pt idx="1">
                  <c:v>25.773328800000009</c:v>
                </c:pt>
                <c:pt idx="2">
                  <c:v>6.2324612000000004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E-42C2-961A-146B660123A6}"/>
            </c:ext>
          </c:extLst>
        </c:ser>
        <c:ser>
          <c:idx val="2"/>
          <c:order val="2"/>
          <c:tx>
            <c:strRef>
              <c:f>Wardha!$E$1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Wardha!$E$2:$E$5</c:f>
              <c:numCache>
                <c:formatCode>###,###,###</c:formatCode>
                <c:ptCount val="4"/>
                <c:pt idx="0">
                  <c:v>226.69059999999999</c:v>
                </c:pt>
                <c:pt idx="1">
                  <c:v>18.312852100000001</c:v>
                </c:pt>
                <c:pt idx="2">
                  <c:v>4.7700679000000008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E-42C2-961A-146B660123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68416"/>
        <c:axId val="552247296"/>
      </c:barChart>
      <c:catAx>
        <c:axId val="5522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7296"/>
        <c:crosses val="autoZero"/>
        <c:auto val="1"/>
        <c:lblAlgn val="ctr"/>
        <c:lblOffset val="100"/>
        <c:noMultiLvlLbl val="0"/>
      </c:catAx>
      <c:valAx>
        <c:axId val="5522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(Veg-Hy) 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Wardha!$B$9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Wardha!$A$10:$A$16</c:f>
              <c:strCache>
                <c:ptCount val="7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CABBAGE</c:v>
                </c:pt>
              </c:strCache>
            </c:strRef>
          </c:cat>
          <c:val>
            <c:numRef>
              <c:f>Wardha!$B$10:$B$16</c:f>
              <c:numCache>
                <c:formatCode>###,###,###</c:formatCode>
                <c:ptCount val="7"/>
                <c:pt idx="0">
                  <c:v>8.9662515000000003</c:v>
                </c:pt>
                <c:pt idx="1">
                  <c:v>2.8742611999999998</c:v>
                </c:pt>
                <c:pt idx="2">
                  <c:v>1.3308705000000001</c:v>
                </c:pt>
                <c:pt idx="3">
                  <c:v>0.73102950000000011</c:v>
                </c:pt>
                <c:pt idx="4">
                  <c:v>0.79542119999999994</c:v>
                </c:pt>
                <c:pt idx="5">
                  <c:v>0.1026001</c:v>
                </c:pt>
                <c:pt idx="6">
                  <c:v>0.66582669999999999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2-4EBC-A324-15499CA1511B}"/>
            </c:ext>
          </c:extLst>
        </c:ser>
        <c:ser>
          <c:idx val="1"/>
          <c:order val="1"/>
          <c:tx>
            <c:strRef>
              <c:f>Wardha!$C$9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Wardha!$A$10:$A$16</c:f>
              <c:strCache>
                <c:ptCount val="7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CABBAGE</c:v>
                </c:pt>
              </c:strCache>
            </c:strRef>
          </c:cat>
          <c:val>
            <c:numRef>
              <c:f>Wardha!$C$10:$C$16</c:f>
              <c:numCache>
                <c:formatCode>###,###,###</c:formatCode>
                <c:ptCount val="7"/>
                <c:pt idx="0">
                  <c:v>11.538678399999998</c:v>
                </c:pt>
                <c:pt idx="1">
                  <c:v>8.7538897000000002</c:v>
                </c:pt>
                <c:pt idx="2">
                  <c:v>2.0312620999999997</c:v>
                </c:pt>
                <c:pt idx="3">
                  <c:v>1.1439763000000001</c:v>
                </c:pt>
                <c:pt idx="4">
                  <c:v>0.66512009999999999</c:v>
                </c:pt>
                <c:pt idx="5">
                  <c:v>0.18792</c:v>
                </c:pt>
                <c:pt idx="6">
                  <c:v>0.73563060000000002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2-4EBC-A324-15499CA1511B}"/>
            </c:ext>
          </c:extLst>
        </c:ser>
        <c:ser>
          <c:idx val="2"/>
          <c:order val="2"/>
          <c:tx>
            <c:strRef>
              <c:f>Wardha!$E$9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Wardha!$A$10:$A$16</c:f>
              <c:strCache>
                <c:ptCount val="7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CABBAGE</c:v>
                </c:pt>
              </c:strCache>
            </c:strRef>
          </c:cat>
          <c:val>
            <c:numRef>
              <c:f>Wardha!$E$10:$E$16</c:f>
              <c:numCache>
                <c:formatCode>###,###,###</c:formatCode>
                <c:ptCount val="7"/>
                <c:pt idx="0">
                  <c:v>9.9436567</c:v>
                </c:pt>
                <c:pt idx="1">
                  <c:v>4.6722125999999999</c:v>
                </c:pt>
                <c:pt idx="2">
                  <c:v>1.5547532000000002</c:v>
                </c:pt>
                <c:pt idx="3">
                  <c:v>0.94239079999999997</c:v>
                </c:pt>
                <c:pt idx="4">
                  <c:v>0.66015080000000004</c:v>
                </c:pt>
                <c:pt idx="5">
                  <c:v>0.31103930000000002</c:v>
                </c:pt>
                <c:pt idx="6">
                  <c:v>0.22571830000000001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22-4EBC-A324-15499CA151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61584"/>
        <c:axId val="133152944"/>
      </c:barChart>
      <c:catAx>
        <c:axId val="13316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944"/>
        <c:crosses val="autoZero"/>
        <c:auto val="1"/>
        <c:lblAlgn val="ctr"/>
        <c:lblOffset val="100"/>
        <c:noMultiLvlLbl val="0"/>
      </c:catAx>
      <c:valAx>
        <c:axId val="1331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(Veg-OP) 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Wardha!$B$26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Wardha!$A$27:$A$28</c:f>
              <c:strCache>
                <c:ptCount val="2"/>
                <c:pt idx="0">
                  <c:v>CORIANDER</c:v>
                </c:pt>
                <c:pt idx="1">
                  <c:v>SPINACH ALL GREEN</c:v>
                </c:pt>
              </c:strCache>
            </c:strRef>
          </c:cat>
          <c:val>
            <c:numRef>
              <c:f>Wardha!$B$27:$B$28</c:f>
              <c:numCache>
                <c:formatCode>###,###,###</c:formatCode>
                <c:ptCount val="2"/>
                <c:pt idx="0">
                  <c:v>1.3217701000000002</c:v>
                </c:pt>
                <c:pt idx="1">
                  <c:v>2.2589858999999999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F-4905-B387-C8A83781C0C5}"/>
            </c:ext>
          </c:extLst>
        </c:ser>
        <c:ser>
          <c:idx val="1"/>
          <c:order val="1"/>
          <c:tx>
            <c:strRef>
              <c:f>Wardha!$C$26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Wardha!$A$27:$A$28</c:f>
              <c:strCache>
                <c:ptCount val="2"/>
                <c:pt idx="0">
                  <c:v>CORIANDER</c:v>
                </c:pt>
                <c:pt idx="1">
                  <c:v>SPINACH ALL GREEN</c:v>
                </c:pt>
              </c:strCache>
            </c:strRef>
          </c:cat>
          <c:val>
            <c:numRef>
              <c:f>Wardha!$C$27:$C$28</c:f>
              <c:numCache>
                <c:formatCode>###,###,###</c:formatCode>
                <c:ptCount val="2"/>
                <c:pt idx="0">
                  <c:v>2.4424136999999999</c:v>
                </c:pt>
                <c:pt idx="1">
                  <c:v>2.5385887999999999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F-4905-B387-C8A83781C0C5}"/>
            </c:ext>
          </c:extLst>
        </c:ser>
        <c:ser>
          <c:idx val="2"/>
          <c:order val="2"/>
          <c:tx>
            <c:strRef>
              <c:f>Wardha!$E$26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Wardha!$A$27:$A$28</c:f>
              <c:strCache>
                <c:ptCount val="2"/>
                <c:pt idx="0">
                  <c:v>CORIANDER</c:v>
                </c:pt>
                <c:pt idx="1">
                  <c:v>SPINACH ALL GREEN</c:v>
                </c:pt>
              </c:strCache>
            </c:strRef>
          </c:cat>
          <c:val>
            <c:numRef>
              <c:f>Wardha!$E$27:$E$28</c:f>
              <c:numCache>
                <c:formatCode>###,###,###</c:formatCode>
                <c:ptCount val="2"/>
                <c:pt idx="0">
                  <c:v>2.6721062</c:v>
                </c:pt>
                <c:pt idx="1">
                  <c:v>1.2366038000000001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F-4905-B387-C8A83781C0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7773600"/>
        <c:axId val="347780800"/>
      </c:barChart>
      <c:catAx>
        <c:axId val="34777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80800"/>
        <c:crosses val="autoZero"/>
        <c:auto val="1"/>
        <c:lblAlgn val="ctr"/>
        <c:lblOffset val="100"/>
        <c:noMultiLvlLbl val="0"/>
      </c:catAx>
      <c:valAx>
        <c:axId val="3477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7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(FC) 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Wardha!$B$37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Wardha!$A$38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Wardha!$B$38</c:f>
              <c:numCache>
                <c:formatCode>###,###,###</c:formatCode>
                <c:ptCount val="1"/>
                <c:pt idx="0">
                  <c:v>259.66742620000002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AAA-B12A-0073AB423F84}"/>
            </c:ext>
          </c:extLst>
        </c:ser>
        <c:ser>
          <c:idx val="1"/>
          <c:order val="1"/>
          <c:tx>
            <c:strRef>
              <c:f>Wardha!$C$37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Wardha!$A$38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Wardha!$C$38</c:f>
              <c:numCache>
                <c:formatCode>###,###,###</c:formatCode>
                <c:ptCount val="1"/>
                <c:pt idx="0">
                  <c:v>274.15611000000001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AAA-B12A-0073AB423F84}"/>
            </c:ext>
          </c:extLst>
        </c:ser>
        <c:ser>
          <c:idx val="2"/>
          <c:order val="2"/>
          <c:tx>
            <c:strRef>
              <c:f>Wardha!$E$37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Wardha!$A$38</c:f>
              <c:strCache>
                <c:ptCount val="1"/>
                <c:pt idx="0">
                  <c:v>COTTON</c:v>
                </c:pt>
              </c:strCache>
            </c:strRef>
          </c:cat>
          <c:val>
            <c:numRef>
              <c:f>Wardha!$E$38</c:f>
              <c:numCache>
                <c:formatCode>###,###,###</c:formatCode>
                <c:ptCount val="1"/>
                <c:pt idx="0">
                  <c:v>226.69059999999999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3-4AAA-B12A-0073AB423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43936"/>
        <c:axId val="552244416"/>
      </c:barChart>
      <c:catAx>
        <c:axId val="55224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4416"/>
        <c:crosses val="autoZero"/>
        <c:auto val="1"/>
        <c:lblAlgn val="ctr"/>
        <c:lblOffset val="100"/>
        <c:noMultiLvlLbl val="0"/>
      </c:catAx>
      <c:valAx>
        <c:axId val="55224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Net Sale by Crop Name (FC-OP) </a:t>
            </a:r>
            <a:endParaRPr lang="en-IN" sz="1400" b="1" i="0" u="none" strike="noStrike" kern="1200" spc="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Wardha!$B$42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Wardha!$A$43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Wardha!$B$43</c:f>
              <c:numCache>
                <c:formatCode>###,###,###</c:formatCode>
                <c:ptCount val="1"/>
                <c:pt idx="0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6-44A7-A2D1-CD51F2C3D411}"/>
            </c:ext>
          </c:extLst>
        </c:ser>
        <c:ser>
          <c:idx val="1"/>
          <c:order val="1"/>
          <c:tx>
            <c:strRef>
              <c:f>Wardha!$C$42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Wardha!$A$43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Wardha!$C$43</c:f>
              <c:numCache>
                <c:formatCode>###,###,###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6-44A7-A2D1-CD51F2C3D411}"/>
            </c:ext>
          </c:extLst>
        </c:ser>
        <c:ser>
          <c:idx val="2"/>
          <c:order val="2"/>
          <c:tx>
            <c:strRef>
              <c:f>Wardha!$E$42</c:f>
              <c:strCache>
                <c:ptCount val="1"/>
                <c:pt idx="0">
                  <c:v>NET SALE 25-26 (Upto 14-11-25)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Wardha!$A$43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Wardha!$E$43</c:f>
              <c:numCache>
                <c:formatCode>###,###,###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6-44A7-A2D1-CD51F2C3D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36736"/>
        <c:axId val="552214656"/>
      </c:barChart>
      <c:catAx>
        <c:axId val="55223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14656"/>
        <c:crosses val="autoZero"/>
        <c:auto val="1"/>
        <c:lblAlgn val="ctr"/>
        <c:lblOffset val="100"/>
        <c:noMultiLvlLbl val="0"/>
      </c:catAx>
      <c:valAx>
        <c:axId val="5522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All India Net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India'!$B$1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'All India'!$B$2:$B$5</c:f>
              <c:numCache>
                <c:formatCode>###,###,###</c:formatCode>
                <c:ptCount val="4"/>
                <c:pt idx="0">
                  <c:v>1567.7466990999997</c:v>
                </c:pt>
                <c:pt idx="1">
                  <c:v>1507.108369099999</c:v>
                </c:pt>
                <c:pt idx="2">
                  <c:v>217.36075220000018</c:v>
                </c:pt>
                <c:pt idx="3">
                  <c:v>150.85895959999999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5-4A55-BE4A-ABC7749A2121}"/>
            </c:ext>
          </c:extLst>
        </c:ser>
        <c:ser>
          <c:idx val="1"/>
          <c:order val="1"/>
          <c:tx>
            <c:strRef>
              <c:f>'All India'!$C$1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'All India'!$C$2:$C$5</c:f>
              <c:numCache>
                <c:formatCode>###,###,###</c:formatCode>
                <c:ptCount val="4"/>
                <c:pt idx="0">
                  <c:v>2212.1414454999999</c:v>
                </c:pt>
                <c:pt idx="1">
                  <c:v>1859.0059129000006</c:v>
                </c:pt>
                <c:pt idx="2">
                  <c:v>364.6363381000001</c:v>
                </c:pt>
                <c:pt idx="3">
                  <c:v>221.26587850000001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5-4A55-BE4A-ABC7749A2121}"/>
            </c:ext>
          </c:extLst>
        </c:ser>
        <c:ser>
          <c:idx val="2"/>
          <c:order val="2"/>
          <c:tx>
            <c:strRef>
              <c:f>'All India'!$E$1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'All India'!$E$2:$E$5</c:f>
              <c:numCache>
                <c:formatCode>###,###,###</c:formatCode>
                <c:ptCount val="4"/>
                <c:pt idx="0">
                  <c:v>3011.2975466000021</c:v>
                </c:pt>
                <c:pt idx="1">
                  <c:v>1418.3267293999993</c:v>
                </c:pt>
                <c:pt idx="2">
                  <c:v>354.56178380000023</c:v>
                </c:pt>
                <c:pt idx="3">
                  <c:v>303.82419020000003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5-4A55-BE4A-ABC7749A21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79488"/>
        <c:axId val="612693408"/>
      </c:barChart>
      <c:catAx>
        <c:axId val="61267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3408"/>
        <c:crosses val="autoZero"/>
        <c:auto val="1"/>
        <c:lblAlgn val="ctr"/>
        <c:lblOffset val="100"/>
        <c:noMultiLvlLbl val="0"/>
      </c:catAx>
      <c:valAx>
        <c:axId val="6126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India'!$B$9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India'!$A$10:$A$23</c:f>
              <c:strCache>
                <c:ptCount val="14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BRINJAL</c:v>
                </c:pt>
                <c:pt idx="5">
                  <c:v>BITTER GOURD</c:v>
                </c:pt>
                <c:pt idx="6">
                  <c:v>TOMATO</c:v>
                </c:pt>
                <c:pt idx="7">
                  <c:v>CUCUMBER</c:v>
                </c:pt>
                <c:pt idx="8">
                  <c:v>BEETROOT</c:v>
                </c:pt>
                <c:pt idx="9">
                  <c:v>WATER MELON</c:v>
                </c:pt>
                <c:pt idx="10">
                  <c:v>CABBAGE</c:v>
                </c:pt>
                <c:pt idx="11">
                  <c:v>RIDGE GOURD</c:v>
                </c:pt>
                <c:pt idx="12">
                  <c:v>BOTTLE GOURD</c:v>
                </c:pt>
                <c:pt idx="13">
                  <c:v>SPONGE GOURD</c:v>
                </c:pt>
              </c:strCache>
            </c:strRef>
          </c:cat>
          <c:val>
            <c:numRef>
              <c:f>'All India'!$B$10:$B$23</c:f>
              <c:numCache>
                <c:formatCode>###,###,###</c:formatCode>
                <c:ptCount val="14"/>
                <c:pt idx="0">
                  <c:v>389.57906930000001</c:v>
                </c:pt>
                <c:pt idx="1">
                  <c:v>450.75124790000012</c:v>
                </c:pt>
                <c:pt idx="2">
                  <c:v>64.408109600000017</c:v>
                </c:pt>
                <c:pt idx="3">
                  <c:v>259.09363539999987</c:v>
                </c:pt>
                <c:pt idx="4">
                  <c:v>32.827020399999981</c:v>
                </c:pt>
                <c:pt idx="5">
                  <c:v>102.732955</c:v>
                </c:pt>
                <c:pt idx="6">
                  <c:v>45.382791600000012</c:v>
                </c:pt>
                <c:pt idx="7">
                  <c:v>50.796086899999963</c:v>
                </c:pt>
                <c:pt idx="8">
                  <c:v>0</c:v>
                </c:pt>
                <c:pt idx="9">
                  <c:v>43.994170099999998</c:v>
                </c:pt>
                <c:pt idx="10">
                  <c:v>22.715891899999999</c:v>
                </c:pt>
                <c:pt idx="11">
                  <c:v>17.720292600000011</c:v>
                </c:pt>
                <c:pt idx="12">
                  <c:v>23.121983300000004</c:v>
                </c:pt>
                <c:pt idx="13">
                  <c:v>3.9851150999999994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7-4B89-AF74-FC86B5B9AA15}"/>
            </c:ext>
          </c:extLst>
        </c:ser>
        <c:ser>
          <c:idx val="1"/>
          <c:order val="1"/>
          <c:tx>
            <c:strRef>
              <c:f>'All India'!$C$9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India'!$A$10:$A$23</c:f>
              <c:strCache>
                <c:ptCount val="14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BRINJAL</c:v>
                </c:pt>
                <c:pt idx="5">
                  <c:v>BITTER GOURD</c:v>
                </c:pt>
                <c:pt idx="6">
                  <c:v>TOMATO</c:v>
                </c:pt>
                <c:pt idx="7">
                  <c:v>CUCUMBER</c:v>
                </c:pt>
                <c:pt idx="8">
                  <c:v>BEETROOT</c:v>
                </c:pt>
                <c:pt idx="9">
                  <c:v>WATER MELON</c:v>
                </c:pt>
                <c:pt idx="10">
                  <c:v>CABBAGE</c:v>
                </c:pt>
                <c:pt idx="11">
                  <c:v>RIDGE GOURD</c:v>
                </c:pt>
                <c:pt idx="12">
                  <c:v>BOTTLE GOURD</c:v>
                </c:pt>
                <c:pt idx="13">
                  <c:v>SPONGE GOURD</c:v>
                </c:pt>
              </c:strCache>
            </c:strRef>
          </c:cat>
          <c:val>
            <c:numRef>
              <c:f>'All India'!$C$10:$C$23</c:f>
              <c:numCache>
                <c:formatCode>###,###,###</c:formatCode>
                <c:ptCount val="14"/>
                <c:pt idx="0">
                  <c:v>696.59705790000066</c:v>
                </c:pt>
                <c:pt idx="1">
                  <c:v>255.22558159999997</c:v>
                </c:pt>
                <c:pt idx="2">
                  <c:v>143.59171569999995</c:v>
                </c:pt>
                <c:pt idx="3">
                  <c:v>364.62476790000022</c:v>
                </c:pt>
                <c:pt idx="4">
                  <c:v>44.371205199999999</c:v>
                </c:pt>
                <c:pt idx="5">
                  <c:v>123.08497839999993</c:v>
                </c:pt>
                <c:pt idx="6">
                  <c:v>53.8911649</c:v>
                </c:pt>
                <c:pt idx="7">
                  <c:v>53.150193199999997</c:v>
                </c:pt>
                <c:pt idx="8">
                  <c:v>7.7711346000000008</c:v>
                </c:pt>
                <c:pt idx="9">
                  <c:v>42.500297200000034</c:v>
                </c:pt>
                <c:pt idx="10">
                  <c:v>20.361486900000003</c:v>
                </c:pt>
                <c:pt idx="11">
                  <c:v>17.586405500000009</c:v>
                </c:pt>
                <c:pt idx="12">
                  <c:v>30.805576000000006</c:v>
                </c:pt>
                <c:pt idx="13">
                  <c:v>5.4443478999999995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7-4B89-AF74-FC86B5B9AA15}"/>
            </c:ext>
          </c:extLst>
        </c:ser>
        <c:ser>
          <c:idx val="2"/>
          <c:order val="2"/>
          <c:tx>
            <c:strRef>
              <c:f>'All India'!$E$9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India'!$A$10:$A$23</c:f>
              <c:strCache>
                <c:ptCount val="14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BRINJAL</c:v>
                </c:pt>
                <c:pt idx="5">
                  <c:v>BITTER GOURD</c:v>
                </c:pt>
                <c:pt idx="6">
                  <c:v>TOMATO</c:v>
                </c:pt>
                <c:pt idx="7">
                  <c:v>CUCUMBER</c:v>
                </c:pt>
                <c:pt idx="8">
                  <c:v>BEETROOT</c:v>
                </c:pt>
                <c:pt idx="9">
                  <c:v>WATER MELON</c:v>
                </c:pt>
                <c:pt idx="10">
                  <c:v>CABBAGE</c:v>
                </c:pt>
                <c:pt idx="11">
                  <c:v>RIDGE GOURD</c:v>
                </c:pt>
                <c:pt idx="12">
                  <c:v>BOTTLE GOURD</c:v>
                </c:pt>
                <c:pt idx="13">
                  <c:v>SPONGE GOURD</c:v>
                </c:pt>
              </c:strCache>
            </c:strRef>
          </c:cat>
          <c:val>
            <c:numRef>
              <c:f>'All India'!$E$10:$E$23</c:f>
              <c:numCache>
                <c:formatCode>###,###,###</c:formatCode>
                <c:ptCount val="14"/>
                <c:pt idx="0">
                  <c:v>601.45248419999973</c:v>
                </c:pt>
                <c:pt idx="1">
                  <c:v>241.13663870000002</c:v>
                </c:pt>
                <c:pt idx="2">
                  <c:v>183.95181139999997</c:v>
                </c:pt>
                <c:pt idx="3">
                  <c:v>135.42931160000006</c:v>
                </c:pt>
                <c:pt idx="4">
                  <c:v>64.658597799999953</c:v>
                </c:pt>
                <c:pt idx="5">
                  <c:v>41.205017900000001</c:v>
                </c:pt>
                <c:pt idx="6">
                  <c:v>38.588456599999979</c:v>
                </c:pt>
                <c:pt idx="7">
                  <c:v>23.130063900000007</c:v>
                </c:pt>
                <c:pt idx="8">
                  <c:v>21.931988700000005</c:v>
                </c:pt>
                <c:pt idx="9">
                  <c:v>21.857313499999993</c:v>
                </c:pt>
                <c:pt idx="10">
                  <c:v>18.947951500000002</c:v>
                </c:pt>
                <c:pt idx="11">
                  <c:v>13.195225500000008</c:v>
                </c:pt>
                <c:pt idx="12">
                  <c:v>9.9253293000000031</c:v>
                </c:pt>
                <c:pt idx="13">
                  <c:v>2.9165388000000005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7-4B89-AF74-FC86B5B9AA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62208"/>
        <c:axId val="612667488"/>
      </c:barChart>
      <c:catAx>
        <c:axId val="6126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7488"/>
        <c:crosses val="autoZero"/>
        <c:auto val="1"/>
        <c:lblAlgn val="ctr"/>
        <c:lblOffset val="100"/>
        <c:noMultiLvlLbl val="0"/>
      </c:catAx>
      <c:valAx>
        <c:axId val="6126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India'!$B$27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COWPEA</c:v>
                </c:pt>
                <c:pt idx="3">
                  <c:v>RADISH</c:v>
                </c:pt>
                <c:pt idx="4">
                  <c:v>BEANS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'All India'!$B$28:$B$34</c:f>
              <c:numCache>
                <c:formatCode>###,###,###</c:formatCode>
                <c:ptCount val="7"/>
                <c:pt idx="0">
                  <c:v>110.10707289999999</c:v>
                </c:pt>
                <c:pt idx="1">
                  <c:v>28.753532100000008</c:v>
                </c:pt>
                <c:pt idx="2">
                  <c:v>18.677179200000001</c:v>
                </c:pt>
                <c:pt idx="3">
                  <c:v>10.024602300000002</c:v>
                </c:pt>
                <c:pt idx="4">
                  <c:v>13.418882399999999</c:v>
                </c:pt>
                <c:pt idx="5">
                  <c:v>14.17052530000001</c:v>
                </c:pt>
                <c:pt idx="6">
                  <c:v>22.208957999999992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C-44C8-8774-F491B9B16B07}"/>
            </c:ext>
          </c:extLst>
        </c:ser>
        <c:ser>
          <c:idx val="1"/>
          <c:order val="1"/>
          <c:tx>
            <c:strRef>
              <c:f>'All India'!$C$27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COWPEA</c:v>
                </c:pt>
                <c:pt idx="3">
                  <c:v>RADISH</c:v>
                </c:pt>
                <c:pt idx="4">
                  <c:v>BEANS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'All India'!$C$28:$C$34</c:f>
              <c:numCache>
                <c:formatCode>###,###,###</c:formatCode>
                <c:ptCount val="7"/>
                <c:pt idx="0">
                  <c:v>231.95159639999994</c:v>
                </c:pt>
                <c:pt idx="1">
                  <c:v>46.385519300000013</c:v>
                </c:pt>
                <c:pt idx="2">
                  <c:v>21.027355000000014</c:v>
                </c:pt>
                <c:pt idx="3">
                  <c:v>12.680854300000002</c:v>
                </c:pt>
                <c:pt idx="4">
                  <c:v>16.318117900000008</c:v>
                </c:pt>
                <c:pt idx="5">
                  <c:v>12.343036300000009</c:v>
                </c:pt>
                <c:pt idx="6">
                  <c:v>23.929858900000003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C-44C8-8774-F491B9B16B07}"/>
            </c:ext>
          </c:extLst>
        </c:ser>
        <c:ser>
          <c:idx val="2"/>
          <c:order val="2"/>
          <c:tx>
            <c:strRef>
              <c:f>'All India'!$E$27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COWPEA</c:v>
                </c:pt>
                <c:pt idx="3">
                  <c:v>RADISH</c:v>
                </c:pt>
                <c:pt idx="4">
                  <c:v>BEANS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'All India'!$E$28:$E$34</c:f>
              <c:numCache>
                <c:formatCode>###,###,###</c:formatCode>
                <c:ptCount val="7"/>
                <c:pt idx="0">
                  <c:v>275.75296780000002</c:v>
                </c:pt>
                <c:pt idx="1">
                  <c:v>29.819648300000001</c:v>
                </c:pt>
                <c:pt idx="2">
                  <c:v>15.061137500000005</c:v>
                </c:pt>
                <c:pt idx="3">
                  <c:v>11.057002100000004</c:v>
                </c:pt>
                <c:pt idx="4">
                  <c:v>8.462383700000002</c:v>
                </c:pt>
                <c:pt idx="5">
                  <c:v>7.9074053000000051</c:v>
                </c:pt>
                <c:pt idx="6">
                  <c:v>6.5012391000000012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C-44C8-8774-F491B9B16B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64976"/>
        <c:axId val="476473616"/>
      </c:barChart>
      <c:catAx>
        <c:axId val="47646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3616"/>
        <c:crosses val="autoZero"/>
        <c:auto val="1"/>
        <c:lblAlgn val="ctr"/>
        <c:lblOffset val="100"/>
        <c:noMultiLvlLbl val="0"/>
      </c:catAx>
      <c:valAx>
        <c:axId val="4764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6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India'!$B$38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India'!$A$39:$A$43</c:f>
              <c:strCache>
                <c:ptCount val="5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  <c:pt idx="3">
                  <c:v>BAJRA</c:v>
                </c:pt>
                <c:pt idx="4">
                  <c:v>MUSTARD</c:v>
                </c:pt>
              </c:strCache>
            </c:strRef>
          </c:cat>
          <c:val>
            <c:numRef>
              <c:f>'All India'!$B$39:$B$43</c:f>
              <c:numCache>
                <c:formatCode>###,###,###</c:formatCode>
                <c:ptCount val="5"/>
                <c:pt idx="0">
                  <c:v>1045.6908208000002</c:v>
                </c:pt>
                <c:pt idx="1">
                  <c:v>202.8944674</c:v>
                </c:pt>
                <c:pt idx="2">
                  <c:v>257.72908550000011</c:v>
                </c:pt>
                <c:pt idx="3">
                  <c:v>61.432325400000011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8-4302-9D0F-E28EFA2C6EE9}"/>
            </c:ext>
          </c:extLst>
        </c:ser>
        <c:ser>
          <c:idx val="1"/>
          <c:order val="1"/>
          <c:tx>
            <c:strRef>
              <c:f>'All India'!$C$38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India'!$A$39:$A$43</c:f>
              <c:strCache>
                <c:ptCount val="5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  <c:pt idx="3">
                  <c:v>BAJRA</c:v>
                </c:pt>
                <c:pt idx="4">
                  <c:v>MUSTARD</c:v>
                </c:pt>
              </c:strCache>
            </c:strRef>
          </c:cat>
          <c:val>
            <c:numRef>
              <c:f>'All India'!$C$39:$C$43</c:f>
              <c:numCache>
                <c:formatCode>###,###,###</c:formatCode>
                <c:ptCount val="5"/>
                <c:pt idx="0">
                  <c:v>1571.7787765999999</c:v>
                </c:pt>
                <c:pt idx="1">
                  <c:v>270.55855960000002</c:v>
                </c:pt>
                <c:pt idx="2">
                  <c:v>314.99528510000005</c:v>
                </c:pt>
                <c:pt idx="3">
                  <c:v>54.808824199999989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8-4302-9D0F-E28EFA2C6EE9}"/>
            </c:ext>
          </c:extLst>
        </c:ser>
        <c:ser>
          <c:idx val="2"/>
          <c:order val="2"/>
          <c:tx>
            <c:strRef>
              <c:f>'All India'!$E$38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India'!$A$39:$A$43</c:f>
              <c:strCache>
                <c:ptCount val="5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  <c:pt idx="3">
                  <c:v>BAJRA</c:v>
                </c:pt>
                <c:pt idx="4">
                  <c:v>MUSTARD</c:v>
                </c:pt>
              </c:strCache>
            </c:strRef>
          </c:cat>
          <c:val>
            <c:numRef>
              <c:f>'All India'!$E$39:$E$43</c:f>
              <c:numCache>
                <c:formatCode>###,###,###</c:formatCode>
                <c:ptCount val="5"/>
                <c:pt idx="0">
                  <c:v>1713.0676289000005</c:v>
                </c:pt>
                <c:pt idx="1">
                  <c:v>699.95437840000022</c:v>
                </c:pt>
                <c:pt idx="2">
                  <c:v>491.82804449999986</c:v>
                </c:pt>
                <c:pt idx="3">
                  <c:v>67.773425299999985</c:v>
                </c:pt>
                <c:pt idx="4">
                  <c:v>38.674069500000002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8-4302-9D0F-E28EFA2C6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64128"/>
        <c:axId val="612654048"/>
      </c:barChart>
      <c:catAx>
        <c:axId val="6126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54048"/>
        <c:crosses val="autoZero"/>
        <c:auto val="1"/>
        <c:lblAlgn val="ctr"/>
        <c:lblOffset val="100"/>
        <c:noMultiLvlLbl val="0"/>
      </c:catAx>
      <c:valAx>
        <c:axId val="6126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(FC-OP)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India'!$B$47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India'!$A$48:$A$50</c:f>
              <c:strCache>
                <c:ptCount val="3"/>
                <c:pt idx="0">
                  <c:v>BERSEEM</c:v>
                </c:pt>
                <c:pt idx="1">
                  <c:v>PADDY</c:v>
                </c:pt>
                <c:pt idx="2">
                  <c:v>GRASS</c:v>
                </c:pt>
              </c:strCache>
            </c:strRef>
          </c:cat>
          <c:val>
            <c:numRef>
              <c:f>'All India'!$B$48:$B$50</c:f>
              <c:numCache>
                <c:formatCode>###,###,###</c:formatCode>
                <c:ptCount val="3"/>
                <c:pt idx="0">
                  <c:v>143.26845979999999</c:v>
                </c:pt>
                <c:pt idx="1">
                  <c:v>7.6075999999999997</c:v>
                </c:pt>
                <c:pt idx="2">
                  <c:v>-1.7100199999999999E-2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3-4203-96A4-8D3FC0AC4761}"/>
            </c:ext>
          </c:extLst>
        </c:ser>
        <c:ser>
          <c:idx val="1"/>
          <c:order val="1"/>
          <c:tx>
            <c:strRef>
              <c:f>'All India'!$C$47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India'!$A$48:$A$50</c:f>
              <c:strCache>
                <c:ptCount val="3"/>
                <c:pt idx="0">
                  <c:v>BERSEEM</c:v>
                </c:pt>
                <c:pt idx="1">
                  <c:v>PADDY</c:v>
                </c:pt>
                <c:pt idx="2">
                  <c:v>GRASS</c:v>
                </c:pt>
              </c:strCache>
            </c:strRef>
          </c:cat>
          <c:val>
            <c:numRef>
              <c:f>'All India'!$C$48:$C$50</c:f>
              <c:numCache>
                <c:formatCode>###,###,###</c:formatCode>
                <c:ptCount val="3"/>
                <c:pt idx="0">
                  <c:v>173.88818850000001</c:v>
                </c:pt>
                <c:pt idx="1">
                  <c:v>47.377690000000001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3-4203-96A4-8D3FC0AC4761}"/>
            </c:ext>
          </c:extLst>
        </c:ser>
        <c:ser>
          <c:idx val="2"/>
          <c:order val="2"/>
          <c:tx>
            <c:strRef>
              <c:f>'All India'!$E$47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'All India'!$A$48:$A$50</c:f>
              <c:strCache>
                <c:ptCount val="3"/>
                <c:pt idx="0">
                  <c:v>BERSEEM</c:v>
                </c:pt>
                <c:pt idx="1">
                  <c:v>PADDY</c:v>
                </c:pt>
                <c:pt idx="2">
                  <c:v>GRASS</c:v>
                </c:pt>
              </c:strCache>
            </c:strRef>
          </c:cat>
          <c:val>
            <c:numRef>
              <c:f>'All India'!$E$48:$E$50</c:f>
              <c:numCache>
                <c:formatCode>###,###,###</c:formatCode>
                <c:ptCount val="3"/>
                <c:pt idx="0">
                  <c:v>190.23030160000005</c:v>
                </c:pt>
                <c:pt idx="1">
                  <c:v>113.5938886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3-4203-96A4-8D3FC0AC4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708288"/>
        <c:axId val="612706368"/>
      </c:barChart>
      <c:catAx>
        <c:axId val="6127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6368"/>
        <c:crosses val="autoZero"/>
        <c:auto val="1"/>
        <c:lblAlgn val="ctr"/>
        <c:lblOffset val="100"/>
        <c:noMultiLvlLbl val="0"/>
      </c:catAx>
      <c:valAx>
        <c:axId val="6127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'mk khan'!$B$1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'mk khan'!$B$2:$B$5</c:f>
              <c:numCache>
                <c:formatCode>###,###,###</c:formatCode>
                <c:ptCount val="4"/>
                <c:pt idx="0">
                  <c:v>245.11096620000001</c:v>
                </c:pt>
                <c:pt idx="1">
                  <c:v>115.04085250000001</c:v>
                </c:pt>
                <c:pt idx="2">
                  <c:v>13.939237500000003</c:v>
                </c:pt>
                <c:pt idx="3">
                  <c:v>0.33600379999999996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0-4CC4-AE60-D4498BB56BF3}"/>
            </c:ext>
          </c:extLst>
        </c:ser>
        <c:ser>
          <c:idx val="1"/>
          <c:order val="1"/>
          <c:tx>
            <c:strRef>
              <c:f>'mk khan'!$C$1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'mk khan'!$C$2:$C$5</c:f>
              <c:numCache>
                <c:formatCode>###,###,###</c:formatCode>
                <c:ptCount val="4"/>
                <c:pt idx="0">
                  <c:v>632.36371269999995</c:v>
                </c:pt>
                <c:pt idx="1">
                  <c:v>178.05412639999986</c:v>
                </c:pt>
                <c:pt idx="2">
                  <c:v>34.686380899999982</c:v>
                </c:pt>
                <c:pt idx="3">
                  <c:v>3.7254999999999998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0-4CC4-AE60-D4498BB56BF3}"/>
            </c:ext>
          </c:extLst>
        </c:ser>
        <c:ser>
          <c:idx val="2"/>
          <c:order val="2"/>
          <c:tx>
            <c:strRef>
              <c:f>'mk khan'!$E$1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'mk khan'!$E$2:$E$5</c:f>
              <c:numCache>
                <c:formatCode>###,###,###</c:formatCode>
                <c:ptCount val="4"/>
                <c:pt idx="0">
                  <c:v>799.40413680000006</c:v>
                </c:pt>
                <c:pt idx="1">
                  <c:v>183.57135110000021</c:v>
                </c:pt>
                <c:pt idx="2">
                  <c:v>51.831751599999947</c:v>
                </c:pt>
                <c:pt idx="3">
                  <c:v>6.6373805000000008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0-4CC4-AE60-D4498BB56B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86576"/>
        <c:axId val="476487056"/>
      </c:barChart>
      <c:catAx>
        <c:axId val="47648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87056"/>
        <c:crosses val="autoZero"/>
        <c:auto val="1"/>
        <c:lblAlgn val="ctr"/>
        <c:lblOffset val="100"/>
        <c:noMultiLvlLbl val="0"/>
      </c:catAx>
      <c:valAx>
        <c:axId val="4764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8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'mk khan'!$B$9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khan'!$A$10:$A$23</c:f>
              <c:strCache>
                <c:ptCount val="14"/>
                <c:pt idx="0">
                  <c:v>OKRA</c:v>
                </c:pt>
                <c:pt idx="1">
                  <c:v>BEANS</c:v>
                </c:pt>
                <c:pt idx="2">
                  <c:v>COWPEA</c:v>
                </c:pt>
                <c:pt idx="3">
                  <c:v>WATER MELON</c:v>
                </c:pt>
                <c:pt idx="4">
                  <c:v>BITTER GOURD</c:v>
                </c:pt>
                <c:pt idx="5">
                  <c:v>CHILLY</c:v>
                </c:pt>
                <c:pt idx="6">
                  <c:v>RIDGE GOURD</c:v>
                </c:pt>
                <c:pt idx="7">
                  <c:v>CUCUMBER</c:v>
                </c:pt>
                <c:pt idx="8">
                  <c:v>BRINJAL</c:v>
                </c:pt>
                <c:pt idx="9">
                  <c:v>BEETROOT</c:v>
                </c:pt>
                <c:pt idx="10">
                  <c:v>CABBAGE</c:v>
                </c:pt>
                <c:pt idx="11">
                  <c:v>BOTTLE GOURD</c:v>
                </c:pt>
                <c:pt idx="12">
                  <c:v>SPONGE GOURD</c:v>
                </c:pt>
                <c:pt idx="13">
                  <c:v>TOMATO</c:v>
                </c:pt>
              </c:strCache>
            </c:strRef>
          </c:cat>
          <c:val>
            <c:numRef>
              <c:f>'mk khan'!$B$10:$B$23</c:f>
              <c:numCache>
                <c:formatCode>###,###,###</c:formatCode>
                <c:ptCount val="14"/>
                <c:pt idx="0">
                  <c:v>38.518272199999998</c:v>
                </c:pt>
                <c:pt idx="1">
                  <c:v>7.8176930999999996</c:v>
                </c:pt>
                <c:pt idx="2">
                  <c:v>19.723980599999997</c:v>
                </c:pt>
                <c:pt idx="3">
                  <c:v>15.540825699999999</c:v>
                </c:pt>
                <c:pt idx="4">
                  <c:v>10.503382599999998</c:v>
                </c:pt>
                <c:pt idx="5">
                  <c:v>3.4673376000000005</c:v>
                </c:pt>
                <c:pt idx="6">
                  <c:v>3.0388430000000004</c:v>
                </c:pt>
                <c:pt idx="7">
                  <c:v>8.7334649999999971</c:v>
                </c:pt>
                <c:pt idx="8">
                  <c:v>5.222702700000001</c:v>
                </c:pt>
                <c:pt idx="9">
                  <c:v>0</c:v>
                </c:pt>
                <c:pt idx="10">
                  <c:v>0.75483010000000006</c:v>
                </c:pt>
                <c:pt idx="11">
                  <c:v>0.65864740000000011</c:v>
                </c:pt>
                <c:pt idx="12">
                  <c:v>0.5608339</c:v>
                </c:pt>
                <c:pt idx="13">
                  <c:v>0.5000386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1-4400-8450-AB56448E85A1}"/>
            </c:ext>
          </c:extLst>
        </c:ser>
        <c:ser>
          <c:idx val="1"/>
          <c:order val="1"/>
          <c:tx>
            <c:strRef>
              <c:f>'mk khan'!$C$9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khan'!$A$10:$A$23</c:f>
              <c:strCache>
                <c:ptCount val="14"/>
                <c:pt idx="0">
                  <c:v>OKRA</c:v>
                </c:pt>
                <c:pt idx="1">
                  <c:v>BEANS</c:v>
                </c:pt>
                <c:pt idx="2">
                  <c:v>COWPEA</c:v>
                </c:pt>
                <c:pt idx="3">
                  <c:v>WATER MELON</c:v>
                </c:pt>
                <c:pt idx="4">
                  <c:v>BITTER GOURD</c:v>
                </c:pt>
                <c:pt idx="5">
                  <c:v>CHILLY</c:v>
                </c:pt>
                <c:pt idx="6">
                  <c:v>RIDGE GOURD</c:v>
                </c:pt>
                <c:pt idx="7">
                  <c:v>CUCUMBER</c:v>
                </c:pt>
                <c:pt idx="8">
                  <c:v>BRINJAL</c:v>
                </c:pt>
                <c:pt idx="9">
                  <c:v>BEETROOT</c:v>
                </c:pt>
                <c:pt idx="10">
                  <c:v>CABBAGE</c:v>
                </c:pt>
                <c:pt idx="11">
                  <c:v>BOTTLE GOURD</c:v>
                </c:pt>
                <c:pt idx="12">
                  <c:v>SPONGE GOURD</c:v>
                </c:pt>
                <c:pt idx="13">
                  <c:v>TOMATO</c:v>
                </c:pt>
              </c:strCache>
            </c:strRef>
          </c:cat>
          <c:val>
            <c:numRef>
              <c:f>'mk khan'!$C$10:$C$23</c:f>
              <c:numCache>
                <c:formatCode>###,###,###</c:formatCode>
                <c:ptCount val="14"/>
                <c:pt idx="0">
                  <c:v>72.621691700000014</c:v>
                </c:pt>
                <c:pt idx="1">
                  <c:v>21.901035099999998</c:v>
                </c:pt>
                <c:pt idx="2">
                  <c:v>34.046136100000012</c:v>
                </c:pt>
                <c:pt idx="3">
                  <c:v>9.2191155999999985</c:v>
                </c:pt>
                <c:pt idx="4">
                  <c:v>15.213352500000004</c:v>
                </c:pt>
                <c:pt idx="5">
                  <c:v>5.3142255999999994</c:v>
                </c:pt>
                <c:pt idx="6">
                  <c:v>3.5797483000000003</c:v>
                </c:pt>
                <c:pt idx="7">
                  <c:v>5.4616795000000007</c:v>
                </c:pt>
                <c:pt idx="8">
                  <c:v>6.7771035000000008</c:v>
                </c:pt>
                <c:pt idx="9">
                  <c:v>1.3851922000000001</c:v>
                </c:pt>
                <c:pt idx="10">
                  <c:v>0.72405319999999995</c:v>
                </c:pt>
                <c:pt idx="11">
                  <c:v>0.74046780000000001</c:v>
                </c:pt>
                <c:pt idx="12">
                  <c:v>0.69322159999999999</c:v>
                </c:pt>
                <c:pt idx="13">
                  <c:v>0.37710370000000004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1-4400-8450-AB56448E85A1}"/>
            </c:ext>
          </c:extLst>
        </c:ser>
        <c:ser>
          <c:idx val="2"/>
          <c:order val="2"/>
          <c:tx>
            <c:strRef>
              <c:f>'mk khan'!$E$9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khan'!$A$10:$A$23</c:f>
              <c:strCache>
                <c:ptCount val="14"/>
                <c:pt idx="0">
                  <c:v>OKRA</c:v>
                </c:pt>
                <c:pt idx="1">
                  <c:v>BEANS</c:v>
                </c:pt>
                <c:pt idx="2">
                  <c:v>COWPEA</c:v>
                </c:pt>
                <c:pt idx="3">
                  <c:v>WATER MELON</c:v>
                </c:pt>
                <c:pt idx="4">
                  <c:v>BITTER GOURD</c:v>
                </c:pt>
                <c:pt idx="5">
                  <c:v>CHILLY</c:v>
                </c:pt>
                <c:pt idx="6">
                  <c:v>RIDGE GOURD</c:v>
                </c:pt>
                <c:pt idx="7">
                  <c:v>CUCUMBER</c:v>
                </c:pt>
                <c:pt idx="8">
                  <c:v>BRINJAL</c:v>
                </c:pt>
                <c:pt idx="9">
                  <c:v>BEETROOT</c:v>
                </c:pt>
                <c:pt idx="10">
                  <c:v>CABBAGE</c:v>
                </c:pt>
                <c:pt idx="11">
                  <c:v>BOTTLE GOURD</c:v>
                </c:pt>
                <c:pt idx="12">
                  <c:v>SPONGE GOURD</c:v>
                </c:pt>
                <c:pt idx="13">
                  <c:v>TOMATO</c:v>
                </c:pt>
              </c:strCache>
            </c:strRef>
          </c:cat>
          <c:val>
            <c:numRef>
              <c:f>'mk khan'!$E$10:$E$23</c:f>
              <c:numCache>
                <c:formatCode>###,###,###</c:formatCode>
                <c:ptCount val="14"/>
                <c:pt idx="0">
                  <c:v>50.902198500000004</c:v>
                </c:pt>
                <c:pt idx="1">
                  <c:v>46.58553950000001</c:v>
                </c:pt>
                <c:pt idx="2">
                  <c:v>34.722491300000002</c:v>
                </c:pt>
                <c:pt idx="3">
                  <c:v>18.3412264</c:v>
                </c:pt>
                <c:pt idx="4">
                  <c:v>15.451007000000002</c:v>
                </c:pt>
                <c:pt idx="5">
                  <c:v>5.2584332000000007</c:v>
                </c:pt>
                <c:pt idx="6">
                  <c:v>3.8596312000000013</c:v>
                </c:pt>
                <c:pt idx="7">
                  <c:v>3.1844730999999999</c:v>
                </c:pt>
                <c:pt idx="8">
                  <c:v>1.8797537000000002</c:v>
                </c:pt>
                <c:pt idx="9">
                  <c:v>0.87674009999999991</c:v>
                </c:pt>
                <c:pt idx="10">
                  <c:v>0.82566209999999995</c:v>
                </c:pt>
                <c:pt idx="11">
                  <c:v>0.76798489999999986</c:v>
                </c:pt>
                <c:pt idx="12">
                  <c:v>0.7509701999999997</c:v>
                </c:pt>
                <c:pt idx="13">
                  <c:v>0.16523989999999997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1-4400-8450-AB56448E8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65936"/>
        <c:axId val="476456816"/>
      </c:barChart>
      <c:catAx>
        <c:axId val="47646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56816"/>
        <c:crosses val="autoZero"/>
        <c:auto val="1"/>
        <c:lblAlgn val="ctr"/>
        <c:lblOffset val="100"/>
        <c:noMultiLvlLbl val="0"/>
      </c:catAx>
      <c:valAx>
        <c:axId val="4764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'mk khan'!$B$27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OKRA</c:v>
                </c:pt>
                <c:pt idx="4">
                  <c:v>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'mk khan'!$B$28:$B$34</c:f>
              <c:numCache>
                <c:formatCode>###,###,###</c:formatCode>
                <c:ptCount val="7"/>
                <c:pt idx="0">
                  <c:v>9.0832632000000011</c:v>
                </c:pt>
                <c:pt idx="1">
                  <c:v>1.9607488</c:v>
                </c:pt>
                <c:pt idx="2">
                  <c:v>2.1717924000000006</c:v>
                </c:pt>
                <c:pt idx="3">
                  <c:v>0.33008760000000004</c:v>
                </c:pt>
                <c:pt idx="4">
                  <c:v>0.14161609999999999</c:v>
                </c:pt>
                <c:pt idx="5">
                  <c:v>0.17754529999999999</c:v>
                </c:pt>
                <c:pt idx="6">
                  <c:v>7.4184100000000003E-2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E-4BFD-8AFF-EFDB94877B03}"/>
            </c:ext>
          </c:extLst>
        </c:ser>
        <c:ser>
          <c:idx val="1"/>
          <c:order val="1"/>
          <c:tx>
            <c:strRef>
              <c:f>'mk khan'!$C$27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OKRA</c:v>
                </c:pt>
                <c:pt idx="4">
                  <c:v>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'mk khan'!$C$28:$C$34</c:f>
              <c:numCache>
                <c:formatCode>###,###,###</c:formatCode>
                <c:ptCount val="7"/>
                <c:pt idx="0">
                  <c:v>28.517796300000001</c:v>
                </c:pt>
                <c:pt idx="1">
                  <c:v>2.7883073999999994</c:v>
                </c:pt>
                <c:pt idx="2">
                  <c:v>1.7959789000000002</c:v>
                </c:pt>
                <c:pt idx="3">
                  <c:v>0.34362589999999998</c:v>
                </c:pt>
                <c:pt idx="4">
                  <c:v>0.51957650000000011</c:v>
                </c:pt>
                <c:pt idx="5">
                  <c:v>0.5426970000000001</c:v>
                </c:pt>
                <c:pt idx="6">
                  <c:v>0.1783989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E-4BFD-8AFF-EFDB94877B03}"/>
            </c:ext>
          </c:extLst>
        </c:ser>
        <c:ser>
          <c:idx val="2"/>
          <c:order val="2"/>
          <c:tx>
            <c:strRef>
              <c:f>'mk khan'!$E$27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CLUSTER BEANS</c:v>
                </c:pt>
                <c:pt idx="3">
                  <c:v>OKRA</c:v>
                </c:pt>
                <c:pt idx="4">
                  <c:v>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'mk khan'!$E$28:$E$34</c:f>
              <c:numCache>
                <c:formatCode>###,###,###</c:formatCode>
                <c:ptCount val="7"/>
                <c:pt idx="0">
                  <c:v>47.733265299999978</c:v>
                </c:pt>
                <c:pt idx="1">
                  <c:v>1.9488653</c:v>
                </c:pt>
                <c:pt idx="2">
                  <c:v>1.1618868999999998</c:v>
                </c:pt>
                <c:pt idx="3">
                  <c:v>0.43096939999999995</c:v>
                </c:pt>
                <c:pt idx="4">
                  <c:v>0.2202334</c:v>
                </c:pt>
                <c:pt idx="5">
                  <c:v>0.20842579999999999</c:v>
                </c:pt>
                <c:pt idx="6">
                  <c:v>0.12810550000000004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E-4BFD-8AFF-EFDB94877B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97728"/>
        <c:axId val="612674688"/>
      </c:barChart>
      <c:catAx>
        <c:axId val="6126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4688"/>
        <c:crosses val="autoZero"/>
        <c:auto val="1"/>
        <c:lblAlgn val="ctr"/>
        <c:lblOffset val="100"/>
        <c:noMultiLvlLbl val="0"/>
      </c:catAx>
      <c:valAx>
        <c:axId val="6126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'mk khan'!$B$38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khan'!$A$39:$A$41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BAJRA</c:v>
                </c:pt>
              </c:strCache>
            </c:strRef>
          </c:cat>
          <c:val>
            <c:numRef>
              <c:f>'mk khan'!$B$39:$B$41</c:f>
              <c:numCache>
                <c:formatCode>###,###,###</c:formatCode>
                <c:ptCount val="3"/>
                <c:pt idx="0">
                  <c:v>213.72767350000001</c:v>
                </c:pt>
                <c:pt idx="1">
                  <c:v>29.545004800000001</c:v>
                </c:pt>
                <c:pt idx="2">
                  <c:v>1.8382879000000001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B-4E65-B59B-C5C21BA39A61}"/>
            </c:ext>
          </c:extLst>
        </c:ser>
        <c:ser>
          <c:idx val="1"/>
          <c:order val="1"/>
          <c:tx>
            <c:strRef>
              <c:f>'mk khan'!$C$38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khan'!$A$39:$A$41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BAJRA</c:v>
                </c:pt>
              </c:strCache>
            </c:strRef>
          </c:cat>
          <c:val>
            <c:numRef>
              <c:f>'mk khan'!$C$39:$C$41</c:f>
              <c:numCache>
                <c:formatCode>###,###,###</c:formatCode>
                <c:ptCount val="3"/>
                <c:pt idx="0">
                  <c:v>571.5532786</c:v>
                </c:pt>
                <c:pt idx="1">
                  <c:v>57.073480000000004</c:v>
                </c:pt>
                <c:pt idx="2">
                  <c:v>3.7369541000000002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B-4E65-B59B-C5C21BA39A61}"/>
            </c:ext>
          </c:extLst>
        </c:ser>
        <c:ser>
          <c:idx val="2"/>
          <c:order val="2"/>
          <c:tx>
            <c:strRef>
              <c:f>'mk khan'!$E$38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khan'!$A$39:$A$41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BAJRA</c:v>
                </c:pt>
              </c:strCache>
            </c:strRef>
          </c:cat>
          <c:val>
            <c:numRef>
              <c:f>'mk khan'!$E$39:$E$41</c:f>
              <c:numCache>
                <c:formatCode>###,###,###</c:formatCode>
                <c:ptCount val="3"/>
                <c:pt idx="0">
                  <c:v>603.42671280000002</c:v>
                </c:pt>
                <c:pt idx="1">
                  <c:v>191.10428780000001</c:v>
                </c:pt>
                <c:pt idx="2">
                  <c:v>4.8731362000000003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B-4E65-B59B-C5C21BA39A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17968"/>
        <c:axId val="703539088"/>
      </c:barChart>
      <c:catAx>
        <c:axId val="7035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39088"/>
        <c:crosses val="autoZero"/>
        <c:auto val="1"/>
        <c:lblAlgn val="ctr"/>
        <c:lblOffset val="100"/>
        <c:noMultiLvlLbl val="0"/>
      </c:catAx>
      <c:valAx>
        <c:axId val="7035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'mk khan'!$B$45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khan'!$A$46:$A$47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'mk khan'!$B$46:$B$47</c:f>
              <c:numCache>
                <c:formatCode>###,###,###</c:formatCode>
                <c:ptCount val="2"/>
                <c:pt idx="0">
                  <c:v>0</c:v>
                </c:pt>
                <c:pt idx="1">
                  <c:v>0.33600379999999996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1-43E3-8535-108531DBDE17}"/>
            </c:ext>
          </c:extLst>
        </c:ser>
        <c:ser>
          <c:idx val="1"/>
          <c:order val="1"/>
          <c:tx>
            <c:strRef>
              <c:f>'mk khan'!$C$45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khan'!$A$46:$A$47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'mk khan'!$C$46:$C$47</c:f>
              <c:numCache>
                <c:formatCode>###,###,###</c:formatCode>
                <c:ptCount val="2"/>
                <c:pt idx="0">
                  <c:v>0.79800000000000004</c:v>
                </c:pt>
                <c:pt idx="1">
                  <c:v>2.9275000000000002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1-43E3-8535-108531DBDE17}"/>
            </c:ext>
          </c:extLst>
        </c:ser>
        <c:ser>
          <c:idx val="2"/>
          <c:order val="2"/>
          <c:tx>
            <c:strRef>
              <c:f>'mk khan'!$E$45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'mk khan'!$A$46:$A$47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'mk khan'!$E$46:$E$47</c:f>
              <c:numCache>
                <c:formatCode>###,###,###</c:formatCode>
                <c:ptCount val="2"/>
                <c:pt idx="0">
                  <c:v>4.9518785999999997</c:v>
                </c:pt>
                <c:pt idx="1">
                  <c:v>1.6855019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1-43E3-8535-108531DBDE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3517008"/>
        <c:axId val="703527088"/>
      </c:barChart>
      <c:catAx>
        <c:axId val="70351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27088"/>
        <c:crosses val="autoZero"/>
        <c:auto val="1"/>
        <c:lblAlgn val="ctr"/>
        <c:lblOffset val="100"/>
        <c:noMultiLvlLbl val="0"/>
      </c:catAx>
      <c:valAx>
        <c:axId val="7035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1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'w-mh'!$B$1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'w-mh'!$B$2:$B$5</c:f>
              <c:numCache>
                <c:formatCode>###,###,###</c:formatCode>
                <c:ptCount val="4"/>
                <c:pt idx="0">
                  <c:v>231.6771861</c:v>
                </c:pt>
                <c:pt idx="1">
                  <c:v>32.9955766</c:v>
                </c:pt>
                <c:pt idx="2">
                  <c:v>14.3652806</c:v>
                </c:pt>
                <c:pt idx="3">
                  <c:v>13.661776700000001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38F-AB64-85A9C1AE3658}"/>
            </c:ext>
          </c:extLst>
        </c:ser>
        <c:ser>
          <c:idx val="1"/>
          <c:order val="1"/>
          <c:tx>
            <c:strRef>
              <c:f>'w-mh'!$C$1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'w-mh'!$C$2:$C$5</c:f>
              <c:numCache>
                <c:formatCode>###,###,###</c:formatCode>
                <c:ptCount val="4"/>
                <c:pt idx="0">
                  <c:v>269.25493419999998</c:v>
                </c:pt>
                <c:pt idx="1">
                  <c:v>49.154127800000005</c:v>
                </c:pt>
                <c:pt idx="2">
                  <c:v>54.339892599999999</c:v>
                </c:pt>
                <c:pt idx="3">
                  <c:v>28.596515399999994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9-438F-AB64-85A9C1AE3658}"/>
            </c:ext>
          </c:extLst>
        </c:ser>
        <c:ser>
          <c:idx val="2"/>
          <c:order val="2"/>
          <c:tx>
            <c:strRef>
              <c:f>'w-mh'!$E$1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'w-mh'!$E$2:$E$5</c:f>
              <c:numCache>
                <c:formatCode>###,###,###</c:formatCode>
                <c:ptCount val="4"/>
                <c:pt idx="0">
                  <c:v>289.8987731000002</c:v>
                </c:pt>
                <c:pt idx="1">
                  <c:v>138.57709569999997</c:v>
                </c:pt>
                <c:pt idx="2">
                  <c:v>118.91651</c:v>
                </c:pt>
                <c:pt idx="3">
                  <c:v>55.941321199999983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9-438F-AB64-85A9C1AE3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64048"/>
        <c:axId val="703571728"/>
      </c:barChart>
      <c:catAx>
        <c:axId val="70356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71728"/>
        <c:crosses val="autoZero"/>
        <c:auto val="1"/>
        <c:lblAlgn val="ctr"/>
        <c:lblOffset val="100"/>
        <c:noMultiLvlLbl val="0"/>
      </c:catAx>
      <c:valAx>
        <c:axId val="70357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'w-mh'!$B$9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'w-mh'!$A$10:$A$23</c:f>
              <c:strCache>
                <c:ptCount val="14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WATER MELON</c:v>
                </c:pt>
                <c:pt idx="5">
                  <c:v>BRINJAL</c:v>
                </c:pt>
                <c:pt idx="6">
                  <c:v>CABBAGE</c:v>
                </c:pt>
                <c:pt idx="7">
                  <c:v>CHILLY</c:v>
                </c:pt>
                <c:pt idx="8">
                  <c:v>BEETROOT</c:v>
                </c:pt>
                <c:pt idx="9">
                  <c:v>RIDGE GOURD</c:v>
                </c:pt>
                <c:pt idx="10">
                  <c:v>SPONGE GOURD</c:v>
                </c:pt>
                <c:pt idx="11">
                  <c:v>CUCUMBER</c:v>
                </c:pt>
                <c:pt idx="12">
                  <c:v>BOTTLE GOURD</c:v>
                </c:pt>
                <c:pt idx="13">
                  <c:v>TOMATO</c:v>
                </c:pt>
              </c:strCache>
            </c:strRef>
          </c:cat>
          <c:val>
            <c:numRef>
              <c:f>'w-mh'!$B$10:$B$23</c:f>
              <c:numCache>
                <c:formatCode>###,###,###</c:formatCode>
                <c:ptCount val="14"/>
                <c:pt idx="0">
                  <c:v>153.98688480000001</c:v>
                </c:pt>
                <c:pt idx="1">
                  <c:v>26.053487099999995</c:v>
                </c:pt>
                <c:pt idx="2">
                  <c:v>19.559468199999998</c:v>
                </c:pt>
                <c:pt idx="3">
                  <c:v>12.667540000000001</c:v>
                </c:pt>
                <c:pt idx="4">
                  <c:v>1.9521018999999997</c:v>
                </c:pt>
                <c:pt idx="5">
                  <c:v>1.7081289000000002</c:v>
                </c:pt>
                <c:pt idx="6">
                  <c:v>8.377378499999999</c:v>
                </c:pt>
                <c:pt idx="7">
                  <c:v>0.20042550000000003</c:v>
                </c:pt>
                <c:pt idx="8">
                  <c:v>0</c:v>
                </c:pt>
                <c:pt idx="9">
                  <c:v>1.7419495</c:v>
                </c:pt>
                <c:pt idx="10">
                  <c:v>0.790655</c:v>
                </c:pt>
                <c:pt idx="11">
                  <c:v>2.2754016999999997</c:v>
                </c:pt>
                <c:pt idx="12">
                  <c:v>1.3143676000000002</c:v>
                </c:pt>
                <c:pt idx="13">
                  <c:v>1.0493973999999999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7-4282-A035-E4A760A017C7}"/>
            </c:ext>
          </c:extLst>
        </c:ser>
        <c:ser>
          <c:idx val="1"/>
          <c:order val="1"/>
          <c:tx>
            <c:strRef>
              <c:f>'w-mh'!$C$9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5408320493066244E-2"/>
                  <c:y val="-5.09259259259259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77-4282-A035-E4A760A017C7}"/>
                </c:ext>
              </c:extLst>
            </c:dLbl>
            <c:dLbl>
              <c:idx val="1"/>
              <c:layout>
                <c:manualLayout>
                  <c:x val="0"/>
                  <c:y val="-5.55555555555555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77-4282-A035-E4A760A017C7}"/>
                </c:ext>
              </c:extLst>
            </c:dLbl>
            <c:dLbl>
              <c:idx val="2"/>
              <c:layout>
                <c:manualLayout>
                  <c:x val="-4.7080435407161763E-17"/>
                  <c:y val="-5.55555555555555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77-4282-A035-E4A760A01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'w-mh'!$A$10:$A$23</c:f>
              <c:strCache>
                <c:ptCount val="14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WATER MELON</c:v>
                </c:pt>
                <c:pt idx="5">
                  <c:v>BRINJAL</c:v>
                </c:pt>
                <c:pt idx="6">
                  <c:v>CABBAGE</c:v>
                </c:pt>
                <c:pt idx="7">
                  <c:v>CHILLY</c:v>
                </c:pt>
                <c:pt idx="8">
                  <c:v>BEETROOT</c:v>
                </c:pt>
                <c:pt idx="9">
                  <c:v>RIDGE GOURD</c:v>
                </c:pt>
                <c:pt idx="10">
                  <c:v>SPONGE GOURD</c:v>
                </c:pt>
                <c:pt idx="11">
                  <c:v>CUCUMBER</c:v>
                </c:pt>
                <c:pt idx="12">
                  <c:v>BOTTLE GOURD</c:v>
                </c:pt>
                <c:pt idx="13">
                  <c:v>TOMATO</c:v>
                </c:pt>
              </c:strCache>
            </c:strRef>
          </c:cat>
          <c:val>
            <c:numRef>
              <c:f>'w-mh'!$C$10:$C$23</c:f>
              <c:numCache>
                <c:formatCode>###,###,###</c:formatCode>
                <c:ptCount val="14"/>
                <c:pt idx="0">
                  <c:v>161.37577190000002</c:v>
                </c:pt>
                <c:pt idx="1">
                  <c:v>57.111729400000016</c:v>
                </c:pt>
                <c:pt idx="2">
                  <c:v>25.7996543</c:v>
                </c:pt>
                <c:pt idx="3">
                  <c:v>12.955268400000001</c:v>
                </c:pt>
                <c:pt idx="4">
                  <c:v>3.0028405000000005</c:v>
                </c:pt>
                <c:pt idx="5">
                  <c:v>1.2069162999999998</c:v>
                </c:pt>
                <c:pt idx="6">
                  <c:v>2.6415183</c:v>
                </c:pt>
                <c:pt idx="7">
                  <c:v>0.56511020000000001</c:v>
                </c:pt>
                <c:pt idx="8">
                  <c:v>1.5138975999999997</c:v>
                </c:pt>
                <c:pt idx="9">
                  <c:v>0.78821560000000002</c:v>
                </c:pt>
                <c:pt idx="10">
                  <c:v>0.5089477</c:v>
                </c:pt>
                <c:pt idx="11">
                  <c:v>0.79394549999999986</c:v>
                </c:pt>
                <c:pt idx="12">
                  <c:v>0.52672039999999998</c:v>
                </c:pt>
                <c:pt idx="13">
                  <c:v>0.46439809999999998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7-4282-A035-E4A760A017C7}"/>
            </c:ext>
          </c:extLst>
        </c:ser>
        <c:ser>
          <c:idx val="2"/>
          <c:order val="2"/>
          <c:tx>
            <c:strRef>
              <c:f>'w-mh'!$E$9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217770929635334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77-4282-A035-E4A760A017C7}"/>
                </c:ext>
              </c:extLst>
            </c:dLbl>
            <c:dLbl>
              <c:idx val="1"/>
              <c:layout>
                <c:manualLayout>
                  <c:x val="5.3929121725731895E-2"/>
                  <c:y val="-7.407407407407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77-4282-A035-E4A760A017C7}"/>
                </c:ext>
              </c:extLst>
            </c:dLbl>
            <c:dLbl>
              <c:idx val="2"/>
              <c:layout>
                <c:manualLayout>
                  <c:x val="3.8520801232665637E-2"/>
                  <c:y val="-6.94444444444444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7-4282-A035-E4A760A01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'w-mh'!$A$10:$A$23</c:f>
              <c:strCache>
                <c:ptCount val="14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WATER MELON</c:v>
                </c:pt>
                <c:pt idx="5">
                  <c:v>BRINJAL</c:v>
                </c:pt>
                <c:pt idx="6">
                  <c:v>CABBAGE</c:v>
                </c:pt>
                <c:pt idx="7">
                  <c:v>CHILLY</c:v>
                </c:pt>
                <c:pt idx="8">
                  <c:v>BEETROOT</c:v>
                </c:pt>
                <c:pt idx="9">
                  <c:v>RIDGE GOURD</c:v>
                </c:pt>
                <c:pt idx="10">
                  <c:v>SPONGE GOURD</c:v>
                </c:pt>
                <c:pt idx="11">
                  <c:v>CUCUMBER</c:v>
                </c:pt>
                <c:pt idx="12">
                  <c:v>BOTTLE GOURD</c:v>
                </c:pt>
                <c:pt idx="13">
                  <c:v>TOMATO</c:v>
                </c:pt>
              </c:strCache>
            </c:strRef>
          </c:cat>
          <c:val>
            <c:numRef>
              <c:f>'w-mh'!$E$10:$E$23</c:f>
              <c:numCache>
                <c:formatCode>###,###,###</c:formatCode>
                <c:ptCount val="14"/>
                <c:pt idx="0">
                  <c:v>173.083673</c:v>
                </c:pt>
                <c:pt idx="1">
                  <c:v>51.019899600000002</c:v>
                </c:pt>
                <c:pt idx="2">
                  <c:v>33.516780399999988</c:v>
                </c:pt>
                <c:pt idx="3">
                  <c:v>10.9708135</c:v>
                </c:pt>
                <c:pt idx="4">
                  <c:v>4.5728974999999998</c:v>
                </c:pt>
                <c:pt idx="5">
                  <c:v>3.2542673999999994</c:v>
                </c:pt>
                <c:pt idx="6">
                  <c:v>2.9304034999999997</c:v>
                </c:pt>
                <c:pt idx="7">
                  <c:v>2.6653500000000001</c:v>
                </c:pt>
                <c:pt idx="8">
                  <c:v>2.5019108999999995</c:v>
                </c:pt>
                <c:pt idx="9">
                  <c:v>1.9336422</c:v>
                </c:pt>
                <c:pt idx="10">
                  <c:v>0.95754190000000006</c:v>
                </c:pt>
                <c:pt idx="11">
                  <c:v>0.92964080000000004</c:v>
                </c:pt>
                <c:pt idx="12">
                  <c:v>0.84627240000000004</c:v>
                </c:pt>
                <c:pt idx="13">
                  <c:v>0.71567999999999998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7-4282-A035-E4A760A017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50128"/>
        <c:axId val="703552048"/>
      </c:barChart>
      <c:catAx>
        <c:axId val="7035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2048"/>
        <c:crosses val="autoZero"/>
        <c:auto val="1"/>
        <c:lblAlgn val="ctr"/>
        <c:lblOffset val="100"/>
        <c:noMultiLvlLbl val="0"/>
      </c:catAx>
      <c:valAx>
        <c:axId val="7035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'w-mh'!$B$27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OKRA</c:v>
                </c:pt>
                <c:pt idx="5">
                  <c:v>BEANS</c:v>
                </c:pt>
                <c:pt idx="6">
                  <c:v>COWPEA</c:v>
                </c:pt>
              </c:strCache>
            </c:strRef>
          </c:cat>
          <c:val>
            <c:numRef>
              <c:f>'w-mh'!$B$28:$B$34</c:f>
              <c:numCache>
                <c:formatCode>###,###,###</c:formatCode>
                <c:ptCount val="7"/>
                <c:pt idx="0">
                  <c:v>4.6430987000000004</c:v>
                </c:pt>
                <c:pt idx="1">
                  <c:v>1.3173385999999998</c:v>
                </c:pt>
                <c:pt idx="2">
                  <c:v>0.54355910000000007</c:v>
                </c:pt>
                <c:pt idx="3">
                  <c:v>0.88362190000000007</c:v>
                </c:pt>
                <c:pt idx="4">
                  <c:v>0.71797790000000006</c:v>
                </c:pt>
                <c:pt idx="5">
                  <c:v>4.8408606999999995</c:v>
                </c:pt>
                <c:pt idx="6">
                  <c:v>0.71531979999999995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D-4580-A8A7-BD1B75C61CBD}"/>
            </c:ext>
          </c:extLst>
        </c:ser>
        <c:ser>
          <c:idx val="1"/>
          <c:order val="1"/>
          <c:tx>
            <c:strRef>
              <c:f>'w-mh'!$C$27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OKRA</c:v>
                </c:pt>
                <c:pt idx="5">
                  <c:v>BEANS</c:v>
                </c:pt>
                <c:pt idx="6">
                  <c:v>COWPEA</c:v>
                </c:pt>
              </c:strCache>
            </c:strRef>
          </c:cat>
          <c:val>
            <c:numRef>
              <c:f>'w-mh'!$C$28:$C$34</c:f>
              <c:numCache>
                <c:formatCode>###,###,###</c:formatCode>
                <c:ptCount val="7"/>
                <c:pt idx="0">
                  <c:v>19.512195599999998</c:v>
                </c:pt>
                <c:pt idx="1">
                  <c:v>2.4616502999999996</c:v>
                </c:pt>
                <c:pt idx="2">
                  <c:v>1.6187485000000006</c:v>
                </c:pt>
                <c:pt idx="3">
                  <c:v>1.1377819</c:v>
                </c:pt>
                <c:pt idx="4">
                  <c:v>0.50857339999999995</c:v>
                </c:pt>
                <c:pt idx="5">
                  <c:v>3.3510857999999994</c:v>
                </c:pt>
                <c:pt idx="6">
                  <c:v>6.4799000000000002E-3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D-4580-A8A7-BD1B75C61CBD}"/>
            </c:ext>
          </c:extLst>
        </c:ser>
        <c:ser>
          <c:idx val="2"/>
          <c:order val="2"/>
          <c:tx>
            <c:strRef>
              <c:f>'w-mh'!$E$27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OKRA</c:v>
                </c:pt>
                <c:pt idx="5">
                  <c:v>BEANS</c:v>
                </c:pt>
                <c:pt idx="6">
                  <c:v>COWPEA</c:v>
                </c:pt>
              </c:strCache>
            </c:strRef>
          </c:cat>
          <c:val>
            <c:numRef>
              <c:f>'w-mh'!$E$28:$E$34</c:f>
              <c:numCache>
                <c:formatCode>###,###,###</c:formatCode>
                <c:ptCount val="7"/>
                <c:pt idx="0">
                  <c:v>48.308044100000004</c:v>
                </c:pt>
                <c:pt idx="1">
                  <c:v>2.762645</c:v>
                </c:pt>
                <c:pt idx="2">
                  <c:v>1.8920743000000002</c:v>
                </c:pt>
                <c:pt idx="3">
                  <c:v>1.6801248999999998</c:v>
                </c:pt>
                <c:pt idx="4">
                  <c:v>0.64363820000000005</c:v>
                </c:pt>
                <c:pt idx="5">
                  <c:v>0.53115739999999989</c:v>
                </c:pt>
                <c:pt idx="6">
                  <c:v>0.12363729999999999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D-4580-A8A7-BD1B75C61C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74128"/>
        <c:axId val="703577488"/>
      </c:barChart>
      <c:catAx>
        <c:axId val="70357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77488"/>
        <c:crosses val="autoZero"/>
        <c:auto val="1"/>
        <c:lblAlgn val="ctr"/>
        <c:lblOffset val="100"/>
        <c:noMultiLvlLbl val="0"/>
      </c:catAx>
      <c:valAx>
        <c:axId val="7035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7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'w-mh'!$B$38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PADDY</c:v>
                </c:pt>
                <c:pt idx="3">
                  <c:v>BAJRA</c:v>
                </c:pt>
              </c:strCache>
            </c:strRef>
          </c:cat>
          <c:val>
            <c:numRef>
              <c:f>'w-mh'!$B$39:$B$42</c:f>
              <c:numCache>
                <c:formatCode>###,###,###</c:formatCode>
                <c:ptCount val="4"/>
                <c:pt idx="0">
                  <c:v>19.419673</c:v>
                </c:pt>
                <c:pt idx="1">
                  <c:v>5.9795317000000008</c:v>
                </c:pt>
                <c:pt idx="2">
                  <c:v>4.6666575999999997</c:v>
                </c:pt>
                <c:pt idx="3">
                  <c:v>2.9297142999999988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5-435A-8B1D-9D46AE9EB657}"/>
            </c:ext>
          </c:extLst>
        </c:ser>
        <c:ser>
          <c:idx val="1"/>
          <c:order val="1"/>
          <c:tx>
            <c:strRef>
              <c:f>'w-mh'!$C$38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PADDY</c:v>
                </c:pt>
                <c:pt idx="3">
                  <c:v>BAJRA</c:v>
                </c:pt>
              </c:strCache>
            </c:strRef>
          </c:cat>
          <c:val>
            <c:numRef>
              <c:f>'w-mh'!$C$39:$C$42</c:f>
              <c:numCache>
                <c:formatCode>###,###,###</c:formatCode>
                <c:ptCount val="4"/>
                <c:pt idx="0">
                  <c:v>31.9739577</c:v>
                </c:pt>
                <c:pt idx="1">
                  <c:v>12.882239999999999</c:v>
                </c:pt>
                <c:pt idx="2">
                  <c:v>3.29223</c:v>
                </c:pt>
                <c:pt idx="3">
                  <c:v>1.0057000999999999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5-435A-8B1D-9D46AE9EB657}"/>
            </c:ext>
          </c:extLst>
        </c:ser>
        <c:ser>
          <c:idx val="2"/>
          <c:order val="2"/>
          <c:tx>
            <c:strRef>
              <c:f>'w-mh'!$E$38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PADDY</c:v>
                </c:pt>
                <c:pt idx="3">
                  <c:v>BAJRA</c:v>
                </c:pt>
              </c:strCache>
            </c:strRef>
          </c:cat>
          <c:val>
            <c:numRef>
              <c:f>'w-mh'!$E$39:$E$42</c:f>
              <c:numCache>
                <c:formatCode>###,###,###</c:formatCode>
                <c:ptCount val="4"/>
                <c:pt idx="0">
                  <c:v>117.91705789999999</c:v>
                </c:pt>
                <c:pt idx="1">
                  <c:v>11.983297599999998</c:v>
                </c:pt>
                <c:pt idx="2">
                  <c:v>4.9344806999999999</c:v>
                </c:pt>
                <c:pt idx="3">
                  <c:v>3.7422595000000007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5-435A-8B1D-9D46AE9EB6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32848"/>
        <c:axId val="703542448"/>
      </c:barChart>
      <c:catAx>
        <c:axId val="70353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2448"/>
        <c:crosses val="autoZero"/>
        <c:auto val="1"/>
        <c:lblAlgn val="ctr"/>
        <c:lblOffset val="100"/>
        <c:noMultiLvlLbl val="0"/>
      </c:catAx>
      <c:valAx>
        <c:axId val="7035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3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'w-mh'!$B$46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'w-mh'!$A$47:$A$48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'w-mh'!$B$47:$B$48</c:f>
              <c:numCache>
                <c:formatCode>###,###,###</c:formatCode>
                <c:ptCount val="2"/>
                <c:pt idx="0">
                  <c:v>7.6075999999999997</c:v>
                </c:pt>
                <c:pt idx="1">
                  <c:v>6.7747807999999994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B-44EC-8FE1-4B18970D78D9}"/>
            </c:ext>
          </c:extLst>
        </c:ser>
        <c:ser>
          <c:idx val="1"/>
          <c:order val="1"/>
          <c:tx>
            <c:strRef>
              <c:f>'w-mh'!$C$46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'w-mh'!$A$47:$A$48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'w-mh'!$C$47:$C$48</c:f>
              <c:numCache>
                <c:formatCode>###,###,###</c:formatCode>
                <c:ptCount val="2"/>
                <c:pt idx="0">
                  <c:v>46.579689999999999</c:v>
                </c:pt>
                <c:pt idx="1">
                  <c:v>7.7602026000000004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B-44EC-8FE1-4B18970D78D9}"/>
            </c:ext>
          </c:extLst>
        </c:ser>
        <c:ser>
          <c:idx val="2"/>
          <c:order val="2"/>
          <c:tx>
            <c:strRef>
              <c:f>'w-mh'!$E$46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'w-mh'!$A$47:$A$48</c:f>
              <c:strCache>
                <c:ptCount val="2"/>
                <c:pt idx="0">
                  <c:v>PADDY</c:v>
                </c:pt>
                <c:pt idx="1">
                  <c:v>BERSEEM</c:v>
                </c:pt>
              </c:strCache>
            </c:strRef>
          </c:cat>
          <c:val>
            <c:numRef>
              <c:f>'w-mh'!$E$47:$E$48</c:f>
              <c:numCache>
                <c:formatCode>###,###,###</c:formatCode>
                <c:ptCount val="2"/>
                <c:pt idx="0">
                  <c:v>108.64201</c:v>
                </c:pt>
                <c:pt idx="1">
                  <c:v>10.2745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2B-44EC-8FE1-4B18970D78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4220672"/>
        <c:axId val="1034216352"/>
      </c:barChart>
      <c:catAx>
        <c:axId val="103422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16352"/>
        <c:crosses val="autoZero"/>
        <c:auto val="1"/>
        <c:lblAlgn val="ctr"/>
        <c:lblOffset val="100"/>
        <c:noMultiLvlLbl val="0"/>
      </c:catAx>
      <c:valAx>
        <c:axId val="10342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'mp-indore'!$B$1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'mp-indore'!$B$2:$B$5</c:f>
              <c:numCache>
                <c:formatCode>###,###,###</c:formatCode>
                <c:ptCount val="4"/>
                <c:pt idx="0">
                  <c:v>104.82791689999999</c:v>
                </c:pt>
                <c:pt idx="1">
                  <c:v>105.37023219999993</c:v>
                </c:pt>
                <c:pt idx="2">
                  <c:v>21.262960899999999</c:v>
                </c:pt>
                <c:pt idx="3">
                  <c:v>31.832999999999998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5-4CA2-9043-121D3DE6DE36}"/>
            </c:ext>
          </c:extLst>
        </c:ser>
        <c:ser>
          <c:idx val="1"/>
          <c:order val="1"/>
          <c:tx>
            <c:strRef>
              <c:f>'mp-indore'!$C$1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'mp-indore'!$C$2:$C$5</c:f>
              <c:numCache>
                <c:formatCode>###,###,###</c:formatCode>
                <c:ptCount val="4"/>
                <c:pt idx="0">
                  <c:v>124.2576073</c:v>
                </c:pt>
                <c:pt idx="1">
                  <c:v>177.74389950000014</c:v>
                </c:pt>
                <c:pt idx="2">
                  <c:v>37.858898200000006</c:v>
                </c:pt>
                <c:pt idx="3">
                  <c:v>41.451700000000002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5-4CA2-9043-121D3DE6DE36}"/>
            </c:ext>
          </c:extLst>
        </c:ser>
        <c:ser>
          <c:idx val="2"/>
          <c:order val="2"/>
          <c:tx>
            <c:strRef>
              <c:f>'mp-indore'!$E$1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'mp-indore'!$E$2:$E$5</c:f>
              <c:numCache>
                <c:formatCode>###,###,###</c:formatCode>
                <c:ptCount val="4"/>
                <c:pt idx="0">
                  <c:v>252.16271979999999</c:v>
                </c:pt>
                <c:pt idx="1">
                  <c:v>113.30313940000003</c:v>
                </c:pt>
                <c:pt idx="2">
                  <c:v>52.932886400000008</c:v>
                </c:pt>
                <c:pt idx="3">
                  <c:v>50.811904399999996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5-4CA2-9043-121D3DE6DE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81776"/>
        <c:axId val="476466416"/>
      </c:barChart>
      <c:catAx>
        <c:axId val="4764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66416"/>
        <c:crosses val="autoZero"/>
        <c:auto val="1"/>
        <c:lblAlgn val="ctr"/>
        <c:lblOffset val="100"/>
        <c:noMultiLvlLbl val="0"/>
      </c:catAx>
      <c:valAx>
        <c:axId val="47646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8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'mp-indore'!$B$9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'mp-indore'!$A$10:$A$23</c:f>
              <c:strCache>
                <c:ptCount val="14"/>
                <c:pt idx="0">
                  <c:v>COWPEA</c:v>
                </c:pt>
                <c:pt idx="1">
                  <c:v>CUCUMBER</c:v>
                </c:pt>
                <c:pt idx="2">
                  <c:v>BEANS</c:v>
                </c:pt>
                <c:pt idx="3">
                  <c:v>BEETROOT</c:v>
                </c:pt>
                <c:pt idx="4">
                  <c:v>OKRA</c:v>
                </c:pt>
                <c:pt idx="5">
                  <c:v>WATER MELON</c:v>
                </c:pt>
                <c:pt idx="6">
                  <c:v>BRINJAL</c:v>
                </c:pt>
                <c:pt idx="7">
                  <c:v>BITTER GOURD</c:v>
                </c:pt>
                <c:pt idx="8">
                  <c:v>CHILLY</c:v>
                </c:pt>
                <c:pt idx="9">
                  <c:v>CABBAGE</c:v>
                </c:pt>
                <c:pt idx="10">
                  <c:v>BOTTLE GOURD</c:v>
                </c:pt>
                <c:pt idx="11">
                  <c:v>RIDGE GOURD</c:v>
                </c:pt>
                <c:pt idx="12">
                  <c:v>TOMATO</c:v>
                </c:pt>
                <c:pt idx="13">
                  <c:v>SPONGE GOURD</c:v>
                </c:pt>
              </c:strCache>
            </c:strRef>
          </c:cat>
          <c:val>
            <c:numRef>
              <c:f>'mp-indore'!$B$10:$B$23</c:f>
              <c:numCache>
                <c:formatCode>###,###,###</c:formatCode>
                <c:ptCount val="14"/>
                <c:pt idx="0">
                  <c:v>45.595365599999994</c:v>
                </c:pt>
                <c:pt idx="1">
                  <c:v>24.899442500000006</c:v>
                </c:pt>
                <c:pt idx="2">
                  <c:v>4.3581973999999999</c:v>
                </c:pt>
                <c:pt idx="3">
                  <c:v>0</c:v>
                </c:pt>
                <c:pt idx="4">
                  <c:v>4.1771447000000084</c:v>
                </c:pt>
                <c:pt idx="5">
                  <c:v>1.9824889000000003</c:v>
                </c:pt>
                <c:pt idx="6">
                  <c:v>2.5066856999999994</c:v>
                </c:pt>
                <c:pt idx="7">
                  <c:v>9.7162216000000008</c:v>
                </c:pt>
                <c:pt idx="8">
                  <c:v>2.6432186000000004</c:v>
                </c:pt>
                <c:pt idx="9">
                  <c:v>0.85785</c:v>
                </c:pt>
                <c:pt idx="10">
                  <c:v>3.0381624999999999</c:v>
                </c:pt>
                <c:pt idx="11">
                  <c:v>0.65447569999999988</c:v>
                </c:pt>
                <c:pt idx="12">
                  <c:v>3.7525231999999993</c:v>
                </c:pt>
                <c:pt idx="13">
                  <c:v>1.1884558000000001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A0E-A261-3EAB589A9DA3}"/>
            </c:ext>
          </c:extLst>
        </c:ser>
        <c:ser>
          <c:idx val="1"/>
          <c:order val="1"/>
          <c:tx>
            <c:strRef>
              <c:f>'mp-indore'!$C$9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5.5555555555555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0-4A0E-A261-3EAB589A9DA3}"/>
                </c:ext>
              </c:extLst>
            </c:dLbl>
            <c:dLbl>
              <c:idx val="1"/>
              <c:layout>
                <c:manualLayout>
                  <c:x val="2.7777777777777752E-2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B0-4A0E-A261-3EAB589A9DA3}"/>
                </c:ext>
              </c:extLst>
            </c:dLbl>
            <c:dLbl>
              <c:idx val="7"/>
              <c:layout>
                <c:manualLayout>
                  <c:x val="8.3333333333332309E-3"/>
                  <c:y val="-7.407407407407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B0-4A0E-A261-3EAB589A9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'mp-indore'!$A$10:$A$23</c:f>
              <c:strCache>
                <c:ptCount val="14"/>
                <c:pt idx="0">
                  <c:v>COWPEA</c:v>
                </c:pt>
                <c:pt idx="1">
                  <c:v>CUCUMBER</c:v>
                </c:pt>
                <c:pt idx="2">
                  <c:v>BEANS</c:v>
                </c:pt>
                <c:pt idx="3">
                  <c:v>BEETROOT</c:v>
                </c:pt>
                <c:pt idx="4">
                  <c:v>OKRA</c:v>
                </c:pt>
                <c:pt idx="5">
                  <c:v>WATER MELON</c:v>
                </c:pt>
                <c:pt idx="6">
                  <c:v>BRINJAL</c:v>
                </c:pt>
                <c:pt idx="7">
                  <c:v>BITTER GOURD</c:v>
                </c:pt>
                <c:pt idx="8">
                  <c:v>CHILLY</c:v>
                </c:pt>
                <c:pt idx="9">
                  <c:v>CABBAGE</c:v>
                </c:pt>
                <c:pt idx="10">
                  <c:v>BOTTLE GOURD</c:v>
                </c:pt>
                <c:pt idx="11">
                  <c:v>RIDGE GOURD</c:v>
                </c:pt>
                <c:pt idx="12">
                  <c:v>TOMATO</c:v>
                </c:pt>
                <c:pt idx="13">
                  <c:v>SPONGE GOURD</c:v>
                </c:pt>
              </c:strCache>
            </c:strRef>
          </c:cat>
          <c:val>
            <c:numRef>
              <c:f>'mp-indore'!$C$10:$C$23</c:f>
              <c:numCache>
                <c:formatCode>###,###,###</c:formatCode>
                <c:ptCount val="14"/>
                <c:pt idx="0">
                  <c:v>81.598457499999995</c:v>
                </c:pt>
                <c:pt idx="1">
                  <c:v>26.666189899999999</c:v>
                </c:pt>
                <c:pt idx="2">
                  <c:v>8.5134068000000003</c:v>
                </c:pt>
                <c:pt idx="3">
                  <c:v>3.5879639000000001</c:v>
                </c:pt>
                <c:pt idx="4">
                  <c:v>28.004860699999995</c:v>
                </c:pt>
                <c:pt idx="5">
                  <c:v>3.0096327</c:v>
                </c:pt>
                <c:pt idx="6">
                  <c:v>2.1467948999999997</c:v>
                </c:pt>
                <c:pt idx="7">
                  <c:v>10.840911999999994</c:v>
                </c:pt>
                <c:pt idx="8">
                  <c:v>3.1160559000000001</c:v>
                </c:pt>
                <c:pt idx="9">
                  <c:v>1.7409719000000001</c:v>
                </c:pt>
                <c:pt idx="10">
                  <c:v>3.7389581999999999</c:v>
                </c:pt>
                <c:pt idx="11">
                  <c:v>0.71159649999999974</c:v>
                </c:pt>
                <c:pt idx="12">
                  <c:v>3.4655020000000003</c:v>
                </c:pt>
                <c:pt idx="13">
                  <c:v>0.60259659999999993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0-4A0E-A261-3EAB589A9DA3}"/>
            </c:ext>
          </c:extLst>
        </c:ser>
        <c:ser>
          <c:idx val="2"/>
          <c:order val="2"/>
          <c:tx>
            <c:strRef>
              <c:f>'mp-indore'!$E$9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999999999999974E-2"/>
                  <c:y val="-2.31481481481481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B0-4A0E-A261-3EAB589A9D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'mp-indore'!$A$10:$A$23</c:f>
              <c:strCache>
                <c:ptCount val="14"/>
                <c:pt idx="0">
                  <c:v>COWPEA</c:v>
                </c:pt>
                <c:pt idx="1">
                  <c:v>CUCUMBER</c:v>
                </c:pt>
                <c:pt idx="2">
                  <c:v>BEANS</c:v>
                </c:pt>
                <c:pt idx="3">
                  <c:v>BEETROOT</c:v>
                </c:pt>
                <c:pt idx="4">
                  <c:v>OKRA</c:v>
                </c:pt>
                <c:pt idx="5">
                  <c:v>WATER MELON</c:v>
                </c:pt>
                <c:pt idx="6">
                  <c:v>BRINJAL</c:v>
                </c:pt>
                <c:pt idx="7">
                  <c:v>BITTER GOURD</c:v>
                </c:pt>
                <c:pt idx="8">
                  <c:v>CHILLY</c:v>
                </c:pt>
                <c:pt idx="9">
                  <c:v>CABBAGE</c:v>
                </c:pt>
                <c:pt idx="10">
                  <c:v>BOTTLE GOURD</c:v>
                </c:pt>
                <c:pt idx="11">
                  <c:v>RIDGE GOURD</c:v>
                </c:pt>
                <c:pt idx="12">
                  <c:v>TOMATO</c:v>
                </c:pt>
                <c:pt idx="13">
                  <c:v>SPONGE GOURD</c:v>
                </c:pt>
              </c:strCache>
            </c:strRef>
          </c:cat>
          <c:val>
            <c:numRef>
              <c:f>'mp-indore'!$E$10:$E$23</c:f>
              <c:numCache>
                <c:formatCode>###,###,###</c:formatCode>
                <c:ptCount val="14"/>
                <c:pt idx="0">
                  <c:v>61.791868600000001</c:v>
                </c:pt>
                <c:pt idx="1">
                  <c:v>13.4713943</c:v>
                </c:pt>
                <c:pt idx="2">
                  <c:v>9.4925226000000009</c:v>
                </c:pt>
                <c:pt idx="3">
                  <c:v>9.3604453999999997</c:v>
                </c:pt>
                <c:pt idx="4">
                  <c:v>6.6461384999999931</c:v>
                </c:pt>
                <c:pt idx="5">
                  <c:v>4.9857863</c:v>
                </c:pt>
                <c:pt idx="6">
                  <c:v>2.3913969000000002</c:v>
                </c:pt>
                <c:pt idx="7">
                  <c:v>2.002800800000001</c:v>
                </c:pt>
                <c:pt idx="8">
                  <c:v>1.2332936999999997</c:v>
                </c:pt>
                <c:pt idx="9">
                  <c:v>1.1390496999999999</c:v>
                </c:pt>
                <c:pt idx="10">
                  <c:v>0.30362050000000002</c:v>
                </c:pt>
                <c:pt idx="11">
                  <c:v>0.21012810000000001</c:v>
                </c:pt>
                <c:pt idx="12">
                  <c:v>0.14914850000000002</c:v>
                </c:pt>
                <c:pt idx="13">
                  <c:v>0.1255455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0-4A0E-A261-3EAB589A9D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54928"/>
        <c:axId val="703566928"/>
      </c:barChart>
      <c:catAx>
        <c:axId val="7035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66928"/>
        <c:crosses val="autoZero"/>
        <c:auto val="1"/>
        <c:lblAlgn val="ctr"/>
        <c:lblOffset val="100"/>
        <c:noMultiLvlLbl val="0"/>
      </c:catAx>
      <c:valAx>
        <c:axId val="70356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'mp-indore'!$B$27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OKRA</c:v>
                </c:pt>
                <c:pt idx="4">
                  <c:v>COWPEA</c:v>
                </c:pt>
                <c:pt idx="5">
                  <c:v>CLUSTER BEANS</c:v>
                </c:pt>
                <c:pt idx="6">
                  <c:v>RADISH</c:v>
                </c:pt>
              </c:strCache>
            </c:strRef>
          </c:cat>
          <c:val>
            <c:numRef>
              <c:f>'mp-indore'!$B$28:$B$34</c:f>
              <c:numCache>
                <c:formatCode>###,###,###</c:formatCode>
                <c:ptCount val="7"/>
                <c:pt idx="0">
                  <c:v>13.608802499999999</c:v>
                </c:pt>
                <c:pt idx="1">
                  <c:v>3.2191275999999993</c:v>
                </c:pt>
                <c:pt idx="2">
                  <c:v>1.4958918999999999</c:v>
                </c:pt>
                <c:pt idx="3">
                  <c:v>0.98298040000000009</c:v>
                </c:pt>
                <c:pt idx="4">
                  <c:v>0.93901729999999994</c:v>
                </c:pt>
                <c:pt idx="5">
                  <c:v>0.88776119999999992</c:v>
                </c:pt>
                <c:pt idx="6">
                  <c:v>0.12938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4-4711-BC5D-A642016B04F2}"/>
            </c:ext>
          </c:extLst>
        </c:ser>
        <c:ser>
          <c:idx val="1"/>
          <c:order val="1"/>
          <c:tx>
            <c:strRef>
              <c:f>'mp-indore'!$C$27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OKRA</c:v>
                </c:pt>
                <c:pt idx="4">
                  <c:v>COWPEA</c:v>
                </c:pt>
                <c:pt idx="5">
                  <c:v>CLUSTER BEANS</c:v>
                </c:pt>
                <c:pt idx="6">
                  <c:v>RADISH</c:v>
                </c:pt>
              </c:strCache>
            </c:strRef>
          </c:cat>
          <c:val>
            <c:numRef>
              <c:f>'mp-indore'!$C$28:$C$34</c:f>
              <c:numCache>
                <c:formatCode>###,###,###</c:formatCode>
                <c:ptCount val="7"/>
                <c:pt idx="0">
                  <c:v>27.354856600000002</c:v>
                </c:pt>
                <c:pt idx="1">
                  <c:v>4.7519194999999987</c:v>
                </c:pt>
                <c:pt idx="2">
                  <c:v>2.0806198999999999</c:v>
                </c:pt>
                <c:pt idx="3">
                  <c:v>2.0616614999999996</c:v>
                </c:pt>
                <c:pt idx="4">
                  <c:v>0.91673669999999996</c:v>
                </c:pt>
                <c:pt idx="5">
                  <c:v>0.58910399999999996</c:v>
                </c:pt>
                <c:pt idx="6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4-4711-BC5D-A642016B04F2}"/>
            </c:ext>
          </c:extLst>
        </c:ser>
        <c:ser>
          <c:idx val="2"/>
          <c:order val="2"/>
          <c:tx>
            <c:strRef>
              <c:f>'mp-indore'!$E$27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OKRA</c:v>
                </c:pt>
                <c:pt idx="4">
                  <c:v>COWPEA</c:v>
                </c:pt>
                <c:pt idx="5">
                  <c:v>CLUSTER BEANS</c:v>
                </c:pt>
                <c:pt idx="6">
                  <c:v>RADISH</c:v>
                </c:pt>
              </c:strCache>
            </c:strRef>
          </c:cat>
          <c:val>
            <c:numRef>
              <c:f>'mp-indore'!$E$28:$E$34</c:f>
              <c:numCache>
                <c:formatCode>###,###,###</c:formatCode>
                <c:ptCount val="7"/>
                <c:pt idx="0">
                  <c:v>46.701388299999998</c:v>
                </c:pt>
                <c:pt idx="1">
                  <c:v>4.1760019999999995</c:v>
                </c:pt>
                <c:pt idx="2">
                  <c:v>1.168247</c:v>
                </c:pt>
                <c:pt idx="3">
                  <c:v>0.47999660000000005</c:v>
                </c:pt>
                <c:pt idx="4">
                  <c:v>0.24543190000000004</c:v>
                </c:pt>
                <c:pt idx="5">
                  <c:v>0.13482060000000001</c:v>
                </c:pt>
                <c:pt idx="6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4-4711-BC5D-A642016B0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701088"/>
        <c:axId val="612683328"/>
      </c:barChart>
      <c:catAx>
        <c:axId val="6127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83328"/>
        <c:crosses val="autoZero"/>
        <c:auto val="1"/>
        <c:lblAlgn val="ctr"/>
        <c:lblOffset val="100"/>
        <c:noMultiLvlLbl val="0"/>
      </c:catAx>
      <c:valAx>
        <c:axId val="6126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'mp-indore'!$B$38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'mp-indore'!$A$39:$A$42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MUSTARD</c:v>
                </c:pt>
                <c:pt idx="3">
                  <c:v>BAJRA</c:v>
                </c:pt>
              </c:strCache>
            </c:strRef>
          </c:cat>
          <c:val>
            <c:numRef>
              <c:f>'mp-indore'!$B$39:$B$42</c:f>
              <c:numCache>
                <c:formatCode>###,###,###</c:formatCode>
                <c:ptCount val="4"/>
                <c:pt idx="0">
                  <c:v>18.507526899999998</c:v>
                </c:pt>
                <c:pt idx="1">
                  <c:v>85.871512600000003</c:v>
                </c:pt>
                <c:pt idx="2">
                  <c:v>0</c:v>
                </c:pt>
                <c:pt idx="3">
                  <c:v>0.44887739999999998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F-4879-88EE-3DC10AD84A3E}"/>
            </c:ext>
          </c:extLst>
        </c:ser>
        <c:ser>
          <c:idx val="1"/>
          <c:order val="1"/>
          <c:tx>
            <c:strRef>
              <c:f>'mp-indore'!$C$38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'mp-indore'!$A$39:$A$42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MUSTARD</c:v>
                </c:pt>
                <c:pt idx="3">
                  <c:v>BAJRA</c:v>
                </c:pt>
              </c:strCache>
            </c:strRef>
          </c:cat>
          <c:val>
            <c:numRef>
              <c:f>'mp-indore'!$C$39:$C$42</c:f>
              <c:numCache>
                <c:formatCode>###,###,###</c:formatCode>
                <c:ptCount val="4"/>
                <c:pt idx="0">
                  <c:v>43.283520000000003</c:v>
                </c:pt>
                <c:pt idx="1">
                  <c:v>80.974087300000008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F-4879-88EE-3DC10AD84A3E}"/>
            </c:ext>
          </c:extLst>
        </c:ser>
        <c:ser>
          <c:idx val="2"/>
          <c:order val="2"/>
          <c:tx>
            <c:strRef>
              <c:f>'mp-indore'!$E$38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'mp-indore'!$A$39:$A$42</c:f>
              <c:strCache>
                <c:ptCount val="4"/>
                <c:pt idx="0">
                  <c:v>MAIZE</c:v>
                </c:pt>
                <c:pt idx="1">
                  <c:v>COTTON</c:v>
                </c:pt>
                <c:pt idx="2">
                  <c:v>MUSTARD</c:v>
                </c:pt>
                <c:pt idx="3">
                  <c:v>BAJRA</c:v>
                </c:pt>
              </c:strCache>
            </c:strRef>
          </c:cat>
          <c:val>
            <c:numRef>
              <c:f>'mp-indore'!$E$39:$E$42</c:f>
              <c:numCache>
                <c:formatCode>###,###,###</c:formatCode>
                <c:ptCount val="4"/>
                <c:pt idx="0">
                  <c:v>135.1405579</c:v>
                </c:pt>
                <c:pt idx="1">
                  <c:v>113.1746074</c:v>
                </c:pt>
                <c:pt idx="2">
                  <c:v>3.8475545000000002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F-4879-88EE-3DC10AD84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787040"/>
        <c:axId val="347787520"/>
      </c:barChart>
      <c:catAx>
        <c:axId val="3477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87520"/>
        <c:crosses val="autoZero"/>
        <c:auto val="1"/>
        <c:lblAlgn val="ctr"/>
        <c:lblOffset val="100"/>
        <c:noMultiLvlLbl val="0"/>
      </c:catAx>
      <c:valAx>
        <c:axId val="34778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(FC-OP)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'mp-indore'!$B$46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'mp-indore'!$B$47</c:f>
              <c:numCache>
                <c:formatCode>###,###,###</c:formatCode>
                <c:ptCount val="1"/>
                <c:pt idx="0">
                  <c:v>31.832999999999998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C-4856-8058-9AAA5478CA6E}"/>
            </c:ext>
          </c:extLst>
        </c:ser>
        <c:ser>
          <c:idx val="1"/>
          <c:order val="1"/>
          <c:tx>
            <c:strRef>
              <c:f>'mp-indore'!$C$46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'mp-indore'!$C$47</c:f>
              <c:numCache>
                <c:formatCode>###,###,###</c:formatCode>
                <c:ptCount val="1"/>
                <c:pt idx="0">
                  <c:v>41.451700000000002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C-4856-8058-9AAA5478CA6E}"/>
            </c:ext>
          </c:extLst>
        </c:ser>
        <c:ser>
          <c:idx val="2"/>
          <c:order val="2"/>
          <c:tx>
            <c:strRef>
              <c:f>'mp-indore'!$E$46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'mp-indore'!$A$47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'mp-indore'!$E$47</c:f>
              <c:numCache>
                <c:formatCode>###,###,###</c:formatCode>
                <c:ptCount val="1"/>
                <c:pt idx="0">
                  <c:v>50.811904399999996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EC-4856-8058-9AAA5478CA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44848"/>
        <c:axId val="703565008"/>
      </c:barChart>
      <c:catAx>
        <c:axId val="7035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65008"/>
        <c:crosses val="autoZero"/>
        <c:auto val="1"/>
        <c:lblAlgn val="ctr"/>
        <c:lblOffset val="100"/>
        <c:noMultiLvlLbl val="0"/>
      </c:catAx>
      <c:valAx>
        <c:axId val="7035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'mp-jabalpur'!$B$1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'mp-jabalpur'!$A$2:$A$5</c:f>
              <c:strCache>
                <c:ptCount val="4"/>
                <c:pt idx="0">
                  <c:v>FIELD CROP</c:v>
                </c:pt>
                <c:pt idx="1">
                  <c:v>FIELD CROP - OP</c:v>
                </c:pt>
                <c:pt idx="2">
                  <c:v>VEG - OP</c:v>
                </c:pt>
                <c:pt idx="3">
                  <c:v>VEG - HYBRID</c:v>
                </c:pt>
              </c:strCache>
            </c:strRef>
          </c:cat>
          <c:val>
            <c:numRef>
              <c:f>'mp-jabalpur'!$B$2:$B$5</c:f>
              <c:numCache>
                <c:formatCode>###,###,###</c:formatCode>
                <c:ptCount val="4"/>
                <c:pt idx="0">
                  <c:v>51.651077800000003</c:v>
                </c:pt>
                <c:pt idx="1">
                  <c:v>13.115</c:v>
                </c:pt>
                <c:pt idx="2">
                  <c:v>8.6008523000000014</c:v>
                </c:pt>
                <c:pt idx="3">
                  <c:v>45.962479899999984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7-4507-A369-181E49D629E1}"/>
            </c:ext>
          </c:extLst>
        </c:ser>
        <c:ser>
          <c:idx val="1"/>
          <c:order val="1"/>
          <c:tx>
            <c:strRef>
              <c:f>'mp-jabalpur'!$C$1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'mp-jabalpur'!$A$2:$A$5</c:f>
              <c:strCache>
                <c:ptCount val="4"/>
                <c:pt idx="0">
                  <c:v>FIELD CROP</c:v>
                </c:pt>
                <c:pt idx="1">
                  <c:v>FIELD CROP - OP</c:v>
                </c:pt>
                <c:pt idx="2">
                  <c:v>VEG - OP</c:v>
                </c:pt>
                <c:pt idx="3">
                  <c:v>VEG - HYBRID</c:v>
                </c:pt>
              </c:strCache>
            </c:strRef>
          </c:cat>
          <c:val>
            <c:numRef>
              <c:f>'mp-jabalpur'!$C$2:$C$5</c:f>
              <c:numCache>
                <c:formatCode>###,###,###</c:formatCode>
                <c:ptCount val="4"/>
                <c:pt idx="0">
                  <c:v>89.189760000000007</c:v>
                </c:pt>
                <c:pt idx="1">
                  <c:v>14.261863399999999</c:v>
                </c:pt>
                <c:pt idx="2">
                  <c:v>17.420239600000009</c:v>
                </c:pt>
                <c:pt idx="3">
                  <c:v>82.868086999999932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7-4507-A369-181E49D629E1}"/>
            </c:ext>
          </c:extLst>
        </c:ser>
        <c:ser>
          <c:idx val="2"/>
          <c:order val="2"/>
          <c:tx>
            <c:strRef>
              <c:f>'mp-jabalpur'!$E$1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'mp-jabalpur'!$A$2:$A$5</c:f>
              <c:strCache>
                <c:ptCount val="4"/>
                <c:pt idx="0">
                  <c:v>FIELD CROP</c:v>
                </c:pt>
                <c:pt idx="1">
                  <c:v>FIELD CROP - OP</c:v>
                </c:pt>
                <c:pt idx="2">
                  <c:v>VEG - OP</c:v>
                </c:pt>
                <c:pt idx="3">
                  <c:v>VEG - HYBRID</c:v>
                </c:pt>
              </c:strCache>
            </c:strRef>
          </c:cat>
          <c:val>
            <c:numRef>
              <c:f>'mp-jabalpur'!$E$2:$E$5</c:f>
              <c:numCache>
                <c:formatCode>###,###,###</c:formatCode>
                <c:ptCount val="4"/>
                <c:pt idx="0">
                  <c:v>120.69496919999997</c:v>
                </c:pt>
                <c:pt idx="1">
                  <c:v>24.023479999999999</c:v>
                </c:pt>
                <c:pt idx="2">
                  <c:v>17.869017599999999</c:v>
                </c:pt>
                <c:pt idx="3">
                  <c:v>-5.8437367999999932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7-4507-A369-181E49D62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47216"/>
        <c:axId val="476427056"/>
      </c:barChart>
      <c:catAx>
        <c:axId val="4764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27056"/>
        <c:crosses val="autoZero"/>
        <c:auto val="1"/>
        <c:lblAlgn val="ctr"/>
        <c:lblOffset val="100"/>
        <c:noMultiLvlLbl val="0"/>
      </c:catAx>
      <c:valAx>
        <c:axId val="4764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'mp-jabalpur'!$B$9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'mp-jabalpur'!$A$10:$A$23</c:f>
              <c:strCache>
                <c:ptCount val="14"/>
                <c:pt idx="0">
                  <c:v>COWPEA</c:v>
                </c:pt>
                <c:pt idx="1">
                  <c:v>TOMATO</c:v>
                </c:pt>
                <c:pt idx="2">
                  <c:v>BRINJAL</c:v>
                </c:pt>
                <c:pt idx="3">
                  <c:v>CHILLY</c:v>
                </c:pt>
                <c:pt idx="4">
                  <c:v>CUCUMBER</c:v>
                </c:pt>
                <c:pt idx="5">
                  <c:v>BEANS</c:v>
                </c:pt>
                <c:pt idx="6">
                  <c:v>CABBAGE</c:v>
                </c:pt>
                <c:pt idx="7">
                  <c:v>BOTTLE GOURD</c:v>
                </c:pt>
                <c:pt idx="8">
                  <c:v>BEETROOT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WATER MELON</c:v>
                </c:pt>
                <c:pt idx="12">
                  <c:v>OKRA</c:v>
                </c:pt>
                <c:pt idx="13">
                  <c:v>BITTER GOURD</c:v>
                </c:pt>
              </c:strCache>
            </c:strRef>
          </c:cat>
          <c:val>
            <c:numRef>
              <c:f>'mp-jabalpur'!$B$10:$B$23</c:f>
              <c:numCache>
                <c:formatCode>###,###,###</c:formatCode>
                <c:ptCount val="14"/>
                <c:pt idx="0">
                  <c:v>6.9575460000000007</c:v>
                </c:pt>
                <c:pt idx="1">
                  <c:v>3.2497811999999993</c:v>
                </c:pt>
                <c:pt idx="2">
                  <c:v>1.3877801999999999</c:v>
                </c:pt>
                <c:pt idx="3">
                  <c:v>0.61389090000000002</c:v>
                </c:pt>
                <c:pt idx="4">
                  <c:v>4.4077668000000001</c:v>
                </c:pt>
                <c:pt idx="5">
                  <c:v>0.1639312</c:v>
                </c:pt>
                <c:pt idx="6">
                  <c:v>0.78451810000000011</c:v>
                </c:pt>
                <c:pt idx="7">
                  <c:v>1.5098836000000004</c:v>
                </c:pt>
                <c:pt idx="8">
                  <c:v>0</c:v>
                </c:pt>
                <c:pt idx="9">
                  <c:v>6.6500000000000004E-2</c:v>
                </c:pt>
                <c:pt idx="10">
                  <c:v>0.12380340000000001</c:v>
                </c:pt>
                <c:pt idx="11">
                  <c:v>0.54175220000000002</c:v>
                </c:pt>
                <c:pt idx="12">
                  <c:v>12.176899799999999</c:v>
                </c:pt>
                <c:pt idx="13">
                  <c:v>13.978426500000008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3-4E4F-94F0-FE2A76837C0C}"/>
            </c:ext>
          </c:extLst>
        </c:ser>
        <c:ser>
          <c:idx val="1"/>
          <c:order val="1"/>
          <c:tx>
            <c:strRef>
              <c:f>'mp-jabalpur'!$C$9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'mp-jabalpur'!$A$10:$A$23</c:f>
              <c:strCache>
                <c:ptCount val="14"/>
                <c:pt idx="0">
                  <c:v>COWPEA</c:v>
                </c:pt>
                <c:pt idx="1">
                  <c:v>TOMATO</c:v>
                </c:pt>
                <c:pt idx="2">
                  <c:v>BRINJAL</c:v>
                </c:pt>
                <c:pt idx="3">
                  <c:v>CHILLY</c:v>
                </c:pt>
                <c:pt idx="4">
                  <c:v>CUCUMBER</c:v>
                </c:pt>
                <c:pt idx="5">
                  <c:v>BEANS</c:v>
                </c:pt>
                <c:pt idx="6">
                  <c:v>CABBAGE</c:v>
                </c:pt>
                <c:pt idx="7">
                  <c:v>BOTTLE GOURD</c:v>
                </c:pt>
                <c:pt idx="8">
                  <c:v>BEETROOT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WATER MELON</c:v>
                </c:pt>
                <c:pt idx="12">
                  <c:v>OKRA</c:v>
                </c:pt>
                <c:pt idx="13">
                  <c:v>BITTER GOURD</c:v>
                </c:pt>
              </c:strCache>
            </c:strRef>
          </c:cat>
          <c:val>
            <c:numRef>
              <c:f>'mp-jabalpur'!$C$10:$C$23</c:f>
              <c:numCache>
                <c:formatCode>###,###,###</c:formatCode>
                <c:ptCount val="14"/>
                <c:pt idx="0">
                  <c:v>6.5952122999999983</c:v>
                </c:pt>
                <c:pt idx="1">
                  <c:v>6.5192071</c:v>
                </c:pt>
                <c:pt idx="2">
                  <c:v>2.7020510999999998</c:v>
                </c:pt>
                <c:pt idx="3">
                  <c:v>1.7172905999999999</c:v>
                </c:pt>
                <c:pt idx="4">
                  <c:v>5.6481271000000017</c:v>
                </c:pt>
                <c:pt idx="5">
                  <c:v>0.80542820000000004</c:v>
                </c:pt>
                <c:pt idx="6">
                  <c:v>0.61655110000000002</c:v>
                </c:pt>
                <c:pt idx="7">
                  <c:v>3.5938136999999992</c:v>
                </c:pt>
                <c:pt idx="8">
                  <c:v>3.07809E-2</c:v>
                </c:pt>
                <c:pt idx="9">
                  <c:v>0.25279540000000006</c:v>
                </c:pt>
                <c:pt idx="10">
                  <c:v>0.15589600000000001</c:v>
                </c:pt>
                <c:pt idx="11">
                  <c:v>2.4737648000000005</c:v>
                </c:pt>
                <c:pt idx="12">
                  <c:v>26.706496799999996</c:v>
                </c:pt>
                <c:pt idx="13">
                  <c:v>25.050671899999994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3-4E4F-94F0-FE2A76837C0C}"/>
            </c:ext>
          </c:extLst>
        </c:ser>
        <c:ser>
          <c:idx val="2"/>
          <c:order val="2"/>
          <c:tx>
            <c:strRef>
              <c:f>'mp-jabalpur'!$E$9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'mp-jabalpur'!$A$10:$A$23</c:f>
              <c:strCache>
                <c:ptCount val="14"/>
                <c:pt idx="0">
                  <c:v>COWPEA</c:v>
                </c:pt>
                <c:pt idx="1">
                  <c:v>TOMATO</c:v>
                </c:pt>
                <c:pt idx="2">
                  <c:v>BRINJAL</c:v>
                </c:pt>
                <c:pt idx="3">
                  <c:v>CHILLY</c:v>
                </c:pt>
                <c:pt idx="4">
                  <c:v>CUCUMBER</c:v>
                </c:pt>
                <c:pt idx="5">
                  <c:v>BEANS</c:v>
                </c:pt>
                <c:pt idx="6">
                  <c:v>CABBAGE</c:v>
                </c:pt>
                <c:pt idx="7">
                  <c:v>BOTTLE GOURD</c:v>
                </c:pt>
                <c:pt idx="8">
                  <c:v>BEETROOT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WATER MELON</c:v>
                </c:pt>
                <c:pt idx="12">
                  <c:v>OKRA</c:v>
                </c:pt>
                <c:pt idx="13">
                  <c:v>BITTER GOURD</c:v>
                </c:pt>
              </c:strCache>
            </c:strRef>
          </c:cat>
          <c:val>
            <c:numRef>
              <c:f>'mp-jabalpur'!$E$10:$E$23</c:f>
              <c:numCache>
                <c:formatCode>###,###,###</c:formatCode>
                <c:ptCount val="14"/>
                <c:pt idx="0">
                  <c:v>9.0173877000000005</c:v>
                </c:pt>
                <c:pt idx="1">
                  <c:v>4.6167249000000004</c:v>
                </c:pt>
                <c:pt idx="2">
                  <c:v>1.8302761999999999</c:v>
                </c:pt>
                <c:pt idx="3">
                  <c:v>1.4254010000000001</c:v>
                </c:pt>
                <c:pt idx="4">
                  <c:v>1.0813038000000001</c:v>
                </c:pt>
                <c:pt idx="5">
                  <c:v>0.78888479999999994</c:v>
                </c:pt>
                <c:pt idx="6">
                  <c:v>0.53713080000000013</c:v>
                </c:pt>
                <c:pt idx="7">
                  <c:v>0.15784459999999997</c:v>
                </c:pt>
                <c:pt idx="8">
                  <c:v>7.5525099999999998E-2</c:v>
                </c:pt>
                <c:pt idx="9">
                  <c:v>3.3737400000000001E-2</c:v>
                </c:pt>
                <c:pt idx="10">
                  <c:v>1.4364699999999998E-2</c:v>
                </c:pt>
                <c:pt idx="11">
                  <c:v>-0.33166410000000002</c:v>
                </c:pt>
                <c:pt idx="12">
                  <c:v>-5.0126044000000007</c:v>
                </c:pt>
                <c:pt idx="13">
                  <c:v>-20.0780493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93-4E4F-94F0-FE2A76837C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70368"/>
        <c:axId val="612670848"/>
      </c:barChart>
      <c:catAx>
        <c:axId val="6126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0848"/>
        <c:crosses val="autoZero"/>
        <c:auto val="1"/>
        <c:lblAlgn val="ctr"/>
        <c:lblOffset val="100"/>
        <c:noMultiLvlLbl val="0"/>
      </c:catAx>
      <c:valAx>
        <c:axId val="6126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'mp-jabalpur'!$B$27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COWPEA</c:v>
                </c:pt>
                <c:pt idx="4">
                  <c:v>RADISH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'mp-jabalpur'!$B$28:$B$34</c:f>
              <c:numCache>
                <c:formatCode>###,###,###</c:formatCode>
                <c:ptCount val="7"/>
                <c:pt idx="0">
                  <c:v>5.5935068000000001</c:v>
                </c:pt>
                <c:pt idx="1">
                  <c:v>2.2001439999999999</c:v>
                </c:pt>
                <c:pt idx="2">
                  <c:v>9.4717099999999985E-2</c:v>
                </c:pt>
                <c:pt idx="3">
                  <c:v>1.89E-2</c:v>
                </c:pt>
                <c:pt idx="4">
                  <c:v>0.34618320000000002</c:v>
                </c:pt>
                <c:pt idx="5">
                  <c:v>0.1206</c:v>
                </c:pt>
                <c:pt idx="6">
                  <c:v>0.22680119999999998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3-4C96-A18A-1614AF5307FF}"/>
            </c:ext>
          </c:extLst>
        </c:ser>
        <c:ser>
          <c:idx val="1"/>
          <c:order val="1"/>
          <c:tx>
            <c:strRef>
              <c:f>'mp-jabalpur'!$C$27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COWPEA</c:v>
                </c:pt>
                <c:pt idx="4">
                  <c:v>RADISH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'mp-jabalpur'!$C$28:$C$34</c:f>
              <c:numCache>
                <c:formatCode>###,###,###</c:formatCode>
                <c:ptCount val="7"/>
                <c:pt idx="0">
                  <c:v>10.563488300000001</c:v>
                </c:pt>
                <c:pt idx="1">
                  <c:v>4.929836400000001</c:v>
                </c:pt>
                <c:pt idx="2">
                  <c:v>0.408555</c:v>
                </c:pt>
                <c:pt idx="3">
                  <c:v>0.2420862</c:v>
                </c:pt>
                <c:pt idx="4">
                  <c:v>0.26327479999999998</c:v>
                </c:pt>
                <c:pt idx="5">
                  <c:v>0.31009700000000001</c:v>
                </c:pt>
                <c:pt idx="6">
                  <c:v>0.70290189999999997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3-4C96-A18A-1614AF5307FF}"/>
            </c:ext>
          </c:extLst>
        </c:ser>
        <c:ser>
          <c:idx val="2"/>
          <c:order val="2"/>
          <c:tx>
            <c:strRef>
              <c:f>'mp-jabalpur'!$E$27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BEANS</c:v>
                </c:pt>
                <c:pt idx="3">
                  <c:v>COWPEA</c:v>
                </c:pt>
                <c:pt idx="4">
                  <c:v>RADISH</c:v>
                </c:pt>
                <c:pt idx="5">
                  <c:v>CLUSTER BEANS</c:v>
                </c:pt>
                <c:pt idx="6">
                  <c:v>OKRA</c:v>
                </c:pt>
              </c:strCache>
            </c:strRef>
          </c:cat>
          <c:val>
            <c:numRef>
              <c:f>'mp-jabalpur'!$E$28:$E$34</c:f>
              <c:numCache>
                <c:formatCode>###,###,###</c:formatCode>
                <c:ptCount val="7"/>
                <c:pt idx="0">
                  <c:v>12.374325099999998</c:v>
                </c:pt>
                <c:pt idx="1">
                  <c:v>3.9096038999999996</c:v>
                </c:pt>
                <c:pt idx="2">
                  <c:v>0.68511630000000001</c:v>
                </c:pt>
                <c:pt idx="3">
                  <c:v>0.40158059999999995</c:v>
                </c:pt>
                <c:pt idx="4">
                  <c:v>0.30795149999999999</c:v>
                </c:pt>
                <c:pt idx="5">
                  <c:v>0.1141201</c:v>
                </c:pt>
                <c:pt idx="6">
                  <c:v>7.6320100000000002E-2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3-4C96-A18A-1614AF530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60208"/>
        <c:axId val="703554448"/>
      </c:barChart>
      <c:catAx>
        <c:axId val="70356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4448"/>
        <c:crosses val="autoZero"/>
        <c:auto val="1"/>
        <c:lblAlgn val="ctr"/>
        <c:lblOffset val="100"/>
        <c:noMultiLvlLbl val="0"/>
      </c:catAx>
      <c:valAx>
        <c:axId val="70355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6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'mp-jabalpur'!$B$38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'mp-jabalpur'!$B$39:$B$41</c:f>
              <c:numCache>
                <c:formatCode>###,###,###</c:formatCode>
                <c:ptCount val="3"/>
                <c:pt idx="0">
                  <c:v>50.396318700000002</c:v>
                </c:pt>
                <c:pt idx="1">
                  <c:v>1.2547591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E-4689-8E26-22B6F6321422}"/>
            </c:ext>
          </c:extLst>
        </c:ser>
        <c:ser>
          <c:idx val="1"/>
          <c:order val="1"/>
          <c:tx>
            <c:strRef>
              <c:f>'mp-jabalpur'!$C$38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'mp-jabalpur'!$C$39:$C$41</c:f>
              <c:numCache>
                <c:formatCode>###,###,###</c:formatCode>
                <c:ptCount val="3"/>
                <c:pt idx="0">
                  <c:v>81.975837099999993</c:v>
                </c:pt>
                <c:pt idx="1">
                  <c:v>7.2139229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E-4689-8E26-22B6F6321422}"/>
            </c:ext>
          </c:extLst>
        </c:ser>
        <c:ser>
          <c:idx val="2"/>
          <c:order val="2"/>
          <c:tx>
            <c:strRef>
              <c:f>'mp-jabalpur'!$E$38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'mp-jabalpur'!$E$39:$E$41</c:f>
              <c:numCache>
                <c:formatCode>###,###,###</c:formatCode>
                <c:ptCount val="3"/>
                <c:pt idx="0">
                  <c:v>101.08100489999998</c:v>
                </c:pt>
                <c:pt idx="1">
                  <c:v>16.869385699999999</c:v>
                </c:pt>
                <c:pt idx="2">
                  <c:v>2.7445785999999996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E-4689-8E26-22B6F63214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646848"/>
        <c:axId val="612673728"/>
      </c:barChart>
      <c:catAx>
        <c:axId val="6126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73728"/>
        <c:crosses val="autoZero"/>
        <c:auto val="1"/>
        <c:lblAlgn val="ctr"/>
        <c:lblOffset val="100"/>
        <c:noMultiLvlLbl val="0"/>
      </c:catAx>
      <c:valAx>
        <c:axId val="6126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'mp-jabalpur'!$B$45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'mp-jabalpur'!$B$46</c:f>
              <c:numCache>
                <c:formatCode>###,###,###</c:formatCode>
                <c:ptCount val="1"/>
                <c:pt idx="0">
                  <c:v>13.115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A-4976-B075-EA46BEF0BCAE}"/>
            </c:ext>
          </c:extLst>
        </c:ser>
        <c:ser>
          <c:idx val="1"/>
          <c:order val="1"/>
          <c:tx>
            <c:strRef>
              <c:f>'mp-jabalpur'!$C$45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'mp-jabalpur'!$C$46</c:f>
              <c:numCache>
                <c:formatCode>###,###,###</c:formatCode>
                <c:ptCount val="1"/>
                <c:pt idx="0">
                  <c:v>14.261863399999999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A-4976-B075-EA46BEF0BCAE}"/>
            </c:ext>
          </c:extLst>
        </c:ser>
        <c:ser>
          <c:idx val="2"/>
          <c:order val="2"/>
          <c:tx>
            <c:strRef>
              <c:f>'mp-jabalpur'!$E$45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'mp-jabalpur'!$A$46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'mp-jabalpur'!$E$46</c:f>
              <c:numCache>
                <c:formatCode>###,###,###</c:formatCode>
                <c:ptCount val="1"/>
                <c:pt idx="0">
                  <c:v>24.023479999999999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A-4976-B075-EA46BEF0BC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70736"/>
        <c:axId val="476460656"/>
      </c:barChart>
      <c:catAx>
        <c:axId val="47647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60656"/>
        <c:crosses val="autoZero"/>
        <c:auto val="1"/>
        <c:lblAlgn val="ctr"/>
        <c:lblOffset val="100"/>
        <c:noMultiLvlLbl val="0"/>
      </c:catAx>
      <c:valAx>
        <c:axId val="4764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South!$B$2:$B$5</c:f>
              <c:numCache>
                <c:formatCode>###,###,###</c:formatCode>
                <c:ptCount val="4"/>
                <c:pt idx="0">
                  <c:v>188.08029500000001</c:v>
                </c:pt>
                <c:pt idx="1">
                  <c:v>338.99972500000001</c:v>
                </c:pt>
                <c:pt idx="2">
                  <c:v>19.863899</c:v>
                </c:pt>
                <c:pt idx="3">
                  <c:v>2.616161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8-4853-B142-7AA4904DD2BB}"/>
            </c:ext>
          </c:extLst>
        </c:ser>
        <c:ser>
          <c:idx val="1"/>
          <c:order val="1"/>
          <c:tx>
            <c:strRef>
              <c:f>South!$C$1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South!$C$2:$C$5</c:f>
              <c:numCache>
                <c:formatCode>###,###,###</c:formatCode>
                <c:ptCount val="4"/>
                <c:pt idx="0">
                  <c:v>193.85830149999998</c:v>
                </c:pt>
                <c:pt idx="1">
                  <c:v>154.4948364</c:v>
                </c:pt>
                <c:pt idx="2">
                  <c:v>34.974032100000009</c:v>
                </c:pt>
                <c:pt idx="3">
                  <c:v>2.1640000000000001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8-4853-B142-7AA4904DD2BB}"/>
            </c:ext>
          </c:extLst>
        </c:ser>
        <c:ser>
          <c:idx val="2"/>
          <c:order val="2"/>
          <c:tx>
            <c:strRef>
              <c:f>South!$E$1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South!$E$2:$E$5</c:f>
              <c:numCache>
                <c:formatCode>###,###,###</c:formatCode>
                <c:ptCount val="4"/>
                <c:pt idx="0">
                  <c:v>435.16718320000001</c:v>
                </c:pt>
                <c:pt idx="1">
                  <c:v>109.63014940000004</c:v>
                </c:pt>
                <c:pt idx="2">
                  <c:v>37.676517400000002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C8-4853-B142-7AA4904DD2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7784640"/>
        <c:axId val="347770240"/>
      </c:barChart>
      <c:catAx>
        <c:axId val="3477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70240"/>
        <c:crosses val="autoZero"/>
        <c:auto val="1"/>
        <c:lblAlgn val="ctr"/>
        <c:lblOffset val="100"/>
        <c:noMultiLvlLbl val="0"/>
      </c:catAx>
      <c:valAx>
        <c:axId val="3477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South!$A$10:$A$22</c:f>
              <c:strCache>
                <c:ptCount val="13"/>
                <c:pt idx="0">
                  <c:v>OKRA</c:v>
                </c:pt>
                <c:pt idx="1">
                  <c:v>BEANS</c:v>
                </c:pt>
                <c:pt idx="2">
                  <c:v>CHILLY</c:v>
                </c:pt>
                <c:pt idx="3">
                  <c:v>BITTER GOURD</c:v>
                </c:pt>
                <c:pt idx="4">
                  <c:v>TOMATO</c:v>
                </c:pt>
                <c:pt idx="5">
                  <c:v>RIDGE GOURD</c:v>
                </c:pt>
                <c:pt idx="6">
                  <c:v>WATER MELON</c:v>
                </c:pt>
                <c:pt idx="7">
                  <c:v>BOTTLE GOURD</c:v>
                </c:pt>
                <c:pt idx="8">
                  <c:v>BRINJAL</c:v>
                </c:pt>
                <c:pt idx="9">
                  <c:v>CABBAGE</c:v>
                </c:pt>
                <c:pt idx="10">
                  <c:v>COWPEA</c:v>
                </c:pt>
                <c:pt idx="11">
                  <c:v>CUCUMBER</c:v>
                </c:pt>
                <c:pt idx="12">
                  <c:v>BEETROOT</c:v>
                </c:pt>
              </c:strCache>
            </c:strRef>
          </c:cat>
          <c:val>
            <c:numRef>
              <c:f>South!$B$10:$B$22</c:f>
              <c:numCache>
                <c:formatCode>0</c:formatCode>
                <c:ptCount val="13"/>
                <c:pt idx="0">
                  <c:v>37.120855200000001</c:v>
                </c:pt>
                <c:pt idx="1">
                  <c:v>7.1781131000000009</c:v>
                </c:pt>
                <c:pt idx="2">
                  <c:v>241.87072520000001</c:v>
                </c:pt>
                <c:pt idx="3">
                  <c:v>17.098686300000001</c:v>
                </c:pt>
                <c:pt idx="4">
                  <c:v>12.186055000000003</c:v>
                </c:pt>
                <c:pt idx="5">
                  <c:v>8.0207476999999994</c:v>
                </c:pt>
                <c:pt idx="6">
                  <c:v>4.2477593000000002</c:v>
                </c:pt>
                <c:pt idx="7">
                  <c:v>3.7643259000000002</c:v>
                </c:pt>
                <c:pt idx="8">
                  <c:v>2.0636999999999999</c:v>
                </c:pt>
                <c:pt idx="9">
                  <c:v>1.2646782999999999</c:v>
                </c:pt>
                <c:pt idx="10">
                  <c:v>2.2508977000000003</c:v>
                </c:pt>
                <c:pt idx="11">
                  <c:v>1.9331812999999998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B-4CAB-8828-6A531D745503}"/>
            </c:ext>
          </c:extLst>
        </c:ser>
        <c:ser>
          <c:idx val="1"/>
          <c:order val="1"/>
          <c:tx>
            <c:strRef>
              <c:f>South!$C$9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3333333333333454E-3"/>
                  <c:y val="-0.101851851851851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6B-4CAB-8828-6A531D745503}"/>
                </c:ext>
              </c:extLst>
            </c:dLbl>
            <c:dLbl>
              <c:idx val="3"/>
              <c:layout>
                <c:manualLayout>
                  <c:x val="-5.0925337632079971E-17"/>
                  <c:y val="-6.94444444444444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6B-4CAB-8828-6A531D745503}"/>
                </c:ext>
              </c:extLst>
            </c:dLbl>
            <c:dLbl>
              <c:idx val="4"/>
              <c:layout>
                <c:manualLayout>
                  <c:x val="5.0925337632079971E-17"/>
                  <c:y val="-5.55555555555555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6B-4CAB-8828-6A531D7455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South!$A$10:$A$22</c:f>
              <c:strCache>
                <c:ptCount val="13"/>
                <c:pt idx="0">
                  <c:v>OKRA</c:v>
                </c:pt>
                <c:pt idx="1">
                  <c:v>BEANS</c:v>
                </c:pt>
                <c:pt idx="2">
                  <c:v>CHILLY</c:v>
                </c:pt>
                <c:pt idx="3">
                  <c:v>BITTER GOURD</c:v>
                </c:pt>
                <c:pt idx="4">
                  <c:v>TOMATO</c:v>
                </c:pt>
                <c:pt idx="5">
                  <c:v>RIDGE GOURD</c:v>
                </c:pt>
                <c:pt idx="6">
                  <c:v>WATER MELON</c:v>
                </c:pt>
                <c:pt idx="7">
                  <c:v>BOTTLE GOURD</c:v>
                </c:pt>
                <c:pt idx="8">
                  <c:v>BRINJAL</c:v>
                </c:pt>
                <c:pt idx="9">
                  <c:v>CABBAGE</c:v>
                </c:pt>
                <c:pt idx="10">
                  <c:v>COWPEA</c:v>
                </c:pt>
                <c:pt idx="11">
                  <c:v>CUCUMBER</c:v>
                </c:pt>
                <c:pt idx="12">
                  <c:v>BEETROOT</c:v>
                </c:pt>
              </c:strCache>
            </c:strRef>
          </c:cat>
          <c:val>
            <c:numRef>
              <c:f>South!$C$10:$C$22</c:f>
              <c:numCache>
                <c:formatCode>0</c:formatCode>
                <c:ptCount val="13"/>
                <c:pt idx="0">
                  <c:v>38.853098799999998</c:v>
                </c:pt>
                <c:pt idx="1">
                  <c:v>17.3666549</c:v>
                </c:pt>
                <c:pt idx="2">
                  <c:v>38.242529899999987</c:v>
                </c:pt>
                <c:pt idx="3">
                  <c:v>21.097517499999999</c:v>
                </c:pt>
                <c:pt idx="4">
                  <c:v>14.193710300000001</c:v>
                </c:pt>
                <c:pt idx="5">
                  <c:v>6.6738356999999997</c:v>
                </c:pt>
                <c:pt idx="6">
                  <c:v>6.3332334999999995</c:v>
                </c:pt>
                <c:pt idx="7">
                  <c:v>4.1030826999999999</c:v>
                </c:pt>
                <c:pt idx="8">
                  <c:v>2.2679974999999999</c:v>
                </c:pt>
                <c:pt idx="9">
                  <c:v>0.14849999999999999</c:v>
                </c:pt>
                <c:pt idx="10">
                  <c:v>2.6215958999999995</c:v>
                </c:pt>
                <c:pt idx="11">
                  <c:v>2.4058796999999998</c:v>
                </c:pt>
                <c:pt idx="12">
                  <c:v>0.18720000000000001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B-4CAB-8828-6A531D745503}"/>
            </c:ext>
          </c:extLst>
        </c:ser>
        <c:ser>
          <c:idx val="2"/>
          <c:order val="2"/>
          <c:tx>
            <c:strRef>
              <c:f>South!$E$9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777777777777803E-3"/>
                  <c:y val="-9.25925925925926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6B-4CAB-8828-6A531D745503}"/>
                </c:ext>
              </c:extLst>
            </c:dLbl>
            <c:dLbl>
              <c:idx val="2"/>
              <c:layout>
                <c:manualLayout>
                  <c:x val="1.9444444444444445E-2"/>
                  <c:y val="-9.72222222222222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6B-4CAB-8828-6A531D745503}"/>
                </c:ext>
              </c:extLst>
            </c:dLbl>
            <c:dLbl>
              <c:idx val="3"/>
              <c:layout>
                <c:manualLayout>
                  <c:x val="1.9444444444444445E-2"/>
                  <c:y val="-0.120370370370370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6B-4CAB-8828-6A531D745503}"/>
                </c:ext>
              </c:extLst>
            </c:dLbl>
            <c:dLbl>
              <c:idx val="4"/>
              <c:layout>
                <c:manualLayout>
                  <c:x val="8.3333333333333332E-3"/>
                  <c:y val="-0.1018518518518518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6B-4CAB-8828-6A531D7455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South!$A$10:$A$22</c:f>
              <c:strCache>
                <c:ptCount val="13"/>
                <c:pt idx="0">
                  <c:v>OKRA</c:v>
                </c:pt>
                <c:pt idx="1">
                  <c:v>BEANS</c:v>
                </c:pt>
                <c:pt idx="2">
                  <c:v>CHILLY</c:v>
                </c:pt>
                <c:pt idx="3">
                  <c:v>BITTER GOURD</c:v>
                </c:pt>
                <c:pt idx="4">
                  <c:v>TOMATO</c:v>
                </c:pt>
                <c:pt idx="5">
                  <c:v>RIDGE GOURD</c:v>
                </c:pt>
                <c:pt idx="6">
                  <c:v>WATER MELON</c:v>
                </c:pt>
                <c:pt idx="7">
                  <c:v>BOTTLE GOURD</c:v>
                </c:pt>
                <c:pt idx="8">
                  <c:v>BRINJAL</c:v>
                </c:pt>
                <c:pt idx="9">
                  <c:v>CABBAGE</c:v>
                </c:pt>
                <c:pt idx="10">
                  <c:v>COWPEA</c:v>
                </c:pt>
                <c:pt idx="11">
                  <c:v>CUCUMBER</c:v>
                </c:pt>
                <c:pt idx="12">
                  <c:v>BEETROOT</c:v>
                </c:pt>
              </c:strCache>
            </c:strRef>
          </c:cat>
          <c:val>
            <c:numRef>
              <c:f>South!$E$10:$E$22</c:f>
              <c:numCache>
                <c:formatCode>0</c:formatCode>
                <c:ptCount val="13"/>
                <c:pt idx="0">
                  <c:v>28.787396699999999</c:v>
                </c:pt>
                <c:pt idx="1">
                  <c:v>21.935617199999996</c:v>
                </c:pt>
                <c:pt idx="2">
                  <c:v>20.646719600000001</c:v>
                </c:pt>
                <c:pt idx="3">
                  <c:v>16.679931499999999</c:v>
                </c:pt>
                <c:pt idx="4">
                  <c:v>5.5736144999999997</c:v>
                </c:pt>
                <c:pt idx="5">
                  <c:v>4.8814023999999998</c:v>
                </c:pt>
                <c:pt idx="6">
                  <c:v>4.4722812000000003</c:v>
                </c:pt>
                <c:pt idx="7">
                  <c:v>2.5245928000000002</c:v>
                </c:pt>
                <c:pt idx="8">
                  <c:v>1.4525989000000001</c:v>
                </c:pt>
                <c:pt idx="9">
                  <c:v>0.9206998999999999</c:v>
                </c:pt>
                <c:pt idx="10">
                  <c:v>0.79424989999999995</c:v>
                </c:pt>
                <c:pt idx="11">
                  <c:v>0.77384480000000011</c:v>
                </c:pt>
                <c:pt idx="12">
                  <c:v>0.18720000000000001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B-4CAB-8828-6A531D745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403696"/>
        <c:axId val="140411856"/>
      </c:barChart>
      <c:catAx>
        <c:axId val="1404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1856"/>
        <c:crosses val="autoZero"/>
        <c:auto val="1"/>
        <c:lblAlgn val="ctr"/>
        <c:lblOffset val="100"/>
        <c:noMultiLvlLbl val="0"/>
      </c:catAx>
      <c:valAx>
        <c:axId val="1404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South!$B$26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South!$A$27:$A$33</c:f>
              <c:strCache>
                <c:ptCount val="7"/>
                <c:pt idx="0">
                  <c:v>CORIANDER</c:v>
                </c:pt>
                <c:pt idx="1">
                  <c:v>BEANS</c:v>
                </c:pt>
                <c:pt idx="2">
                  <c:v>OKRA</c:v>
                </c:pt>
                <c:pt idx="3">
                  <c:v>SPINACH ALL GREEN</c:v>
                </c:pt>
                <c:pt idx="4">
                  <c:v>CLUSTER 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South!$B$27:$B$33</c:f>
              <c:numCache>
                <c:formatCode>###,###,###</c:formatCode>
                <c:ptCount val="7"/>
                <c:pt idx="0">
                  <c:v>8.6667741000000014</c:v>
                </c:pt>
                <c:pt idx="1">
                  <c:v>3.0162095999999998</c:v>
                </c:pt>
                <c:pt idx="2">
                  <c:v>1.5799611999999998</c:v>
                </c:pt>
                <c:pt idx="3">
                  <c:v>1.4994009999999998</c:v>
                </c:pt>
                <c:pt idx="4">
                  <c:v>4.3847912999999998</c:v>
                </c:pt>
                <c:pt idx="5">
                  <c:v>0.44712030000000008</c:v>
                </c:pt>
                <c:pt idx="6">
                  <c:v>0.26964150000000003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B-4DE4-88E0-12E07E221473}"/>
            </c:ext>
          </c:extLst>
        </c:ser>
        <c:ser>
          <c:idx val="1"/>
          <c:order val="1"/>
          <c:tx>
            <c:strRef>
              <c:f>South!$C$26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South!$A$27:$A$33</c:f>
              <c:strCache>
                <c:ptCount val="7"/>
                <c:pt idx="0">
                  <c:v>CORIANDER</c:v>
                </c:pt>
                <c:pt idx="1">
                  <c:v>BEANS</c:v>
                </c:pt>
                <c:pt idx="2">
                  <c:v>OKRA</c:v>
                </c:pt>
                <c:pt idx="3">
                  <c:v>SPINACH ALL GREEN</c:v>
                </c:pt>
                <c:pt idx="4">
                  <c:v>CLUSTER 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South!$C$27:$C$33</c:f>
              <c:numCache>
                <c:formatCode>###,###,###</c:formatCode>
                <c:ptCount val="7"/>
                <c:pt idx="0">
                  <c:v>19.857302000000001</c:v>
                </c:pt>
                <c:pt idx="1">
                  <c:v>4.7924430999999998</c:v>
                </c:pt>
                <c:pt idx="2">
                  <c:v>2.3200231999999996</c:v>
                </c:pt>
                <c:pt idx="3">
                  <c:v>3.3822912000000001</c:v>
                </c:pt>
                <c:pt idx="4">
                  <c:v>3.7018359000000003</c:v>
                </c:pt>
                <c:pt idx="5">
                  <c:v>0.53864999999999996</c:v>
                </c:pt>
                <c:pt idx="6">
                  <c:v>0.38148669999999996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B-4DE4-88E0-12E07E221473}"/>
            </c:ext>
          </c:extLst>
        </c:ser>
        <c:ser>
          <c:idx val="2"/>
          <c:order val="2"/>
          <c:tx>
            <c:strRef>
              <c:f>South!$E$26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South!$A$27:$A$33</c:f>
              <c:strCache>
                <c:ptCount val="7"/>
                <c:pt idx="0">
                  <c:v>CORIANDER</c:v>
                </c:pt>
                <c:pt idx="1">
                  <c:v>BEANS</c:v>
                </c:pt>
                <c:pt idx="2">
                  <c:v>OKRA</c:v>
                </c:pt>
                <c:pt idx="3">
                  <c:v>SPINACH ALL GREEN</c:v>
                </c:pt>
                <c:pt idx="4">
                  <c:v>CLUSTER BEANS</c:v>
                </c:pt>
                <c:pt idx="5">
                  <c:v>COWPEA</c:v>
                </c:pt>
                <c:pt idx="6">
                  <c:v>RADISH</c:v>
                </c:pt>
              </c:strCache>
            </c:strRef>
          </c:cat>
          <c:val>
            <c:numRef>
              <c:f>South!$E$27:$E$33</c:f>
              <c:numCache>
                <c:formatCode>###,###,###</c:formatCode>
                <c:ptCount val="7"/>
                <c:pt idx="0">
                  <c:v>30.286662100000001</c:v>
                </c:pt>
                <c:pt idx="1">
                  <c:v>2.0528114999999998</c:v>
                </c:pt>
                <c:pt idx="2">
                  <c:v>1.7131329000000002</c:v>
                </c:pt>
                <c:pt idx="3">
                  <c:v>1.4223602000000002</c:v>
                </c:pt>
                <c:pt idx="4">
                  <c:v>1.1884053000000001</c:v>
                </c:pt>
                <c:pt idx="5">
                  <c:v>0.88222540000000005</c:v>
                </c:pt>
                <c:pt idx="6">
                  <c:v>0.13092000000000001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B-4DE4-88E0-12E07E221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7772160"/>
        <c:axId val="347765440"/>
      </c:barChart>
      <c:catAx>
        <c:axId val="3477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65440"/>
        <c:crosses val="autoZero"/>
        <c:auto val="1"/>
        <c:lblAlgn val="ctr"/>
        <c:lblOffset val="100"/>
        <c:noMultiLvlLbl val="0"/>
      </c:catAx>
      <c:valAx>
        <c:axId val="3477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7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South!$B$37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South!$B$38:$B$40</c:f>
              <c:numCache>
                <c:formatCode>###,###,###</c:formatCode>
                <c:ptCount val="3"/>
                <c:pt idx="0">
                  <c:v>63.795865999999997</c:v>
                </c:pt>
                <c:pt idx="1">
                  <c:v>91.215187700000001</c:v>
                </c:pt>
                <c:pt idx="2">
                  <c:v>33.069241300000002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F-4AA7-A405-7FB31C03A1C7}"/>
            </c:ext>
          </c:extLst>
        </c:ser>
        <c:ser>
          <c:idx val="1"/>
          <c:order val="1"/>
          <c:tx>
            <c:strRef>
              <c:f>South!$C$37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South!$C$38:$C$40</c:f>
              <c:numCache>
                <c:formatCode>###,###,###</c:formatCode>
                <c:ptCount val="3"/>
                <c:pt idx="0">
                  <c:v>100.6041584</c:v>
                </c:pt>
                <c:pt idx="1">
                  <c:v>72.232299800000007</c:v>
                </c:pt>
                <c:pt idx="2">
                  <c:v>21.0218433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F-4AA7-A405-7FB31C03A1C7}"/>
            </c:ext>
          </c:extLst>
        </c:ser>
        <c:ser>
          <c:idx val="2"/>
          <c:order val="2"/>
          <c:tx>
            <c:strRef>
              <c:f>South!$E$37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South!$E$38:$E$40</c:f>
              <c:numCache>
                <c:formatCode>###,###,###</c:formatCode>
                <c:ptCount val="3"/>
                <c:pt idx="0">
                  <c:v>205.79738840000005</c:v>
                </c:pt>
                <c:pt idx="1">
                  <c:v>162.04795759999999</c:v>
                </c:pt>
                <c:pt idx="2">
                  <c:v>67.321837200000004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F-4AA7-A405-7FB31C03A1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88160"/>
        <c:axId val="786103520"/>
      </c:barChart>
      <c:catAx>
        <c:axId val="7860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03520"/>
        <c:crosses val="autoZero"/>
        <c:auto val="1"/>
        <c:lblAlgn val="ctr"/>
        <c:lblOffset val="100"/>
        <c:noMultiLvlLbl val="0"/>
      </c:catAx>
      <c:valAx>
        <c:axId val="7861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8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South!$B$44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South!$B$45</c:f>
              <c:numCache>
                <c:formatCode>###,###,###</c:formatCode>
                <c:ptCount val="1"/>
                <c:pt idx="0">
                  <c:v>2.616161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A-49BB-BD23-670EB362AF1D}"/>
            </c:ext>
          </c:extLst>
        </c:ser>
        <c:ser>
          <c:idx val="1"/>
          <c:order val="1"/>
          <c:tx>
            <c:strRef>
              <c:f>South!$C$44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South!$C$45</c:f>
              <c:numCache>
                <c:formatCode>###,###,###</c:formatCode>
                <c:ptCount val="1"/>
                <c:pt idx="0">
                  <c:v>2.1640000000000001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A-49BB-BD23-670EB362AF1D}"/>
            </c:ext>
          </c:extLst>
        </c:ser>
        <c:ser>
          <c:idx val="2"/>
          <c:order val="2"/>
          <c:tx>
            <c:strRef>
              <c:f>South!$E$44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South!$A$45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South!$E$45</c:f>
              <c:numCache>
                <c:formatCode>###,###,###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A-49BB-BD23-670EB362AF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63200"/>
        <c:axId val="786054560"/>
      </c:barChart>
      <c:catAx>
        <c:axId val="78606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4560"/>
        <c:crosses val="autoZero"/>
        <c:auto val="1"/>
        <c:lblAlgn val="ctr"/>
        <c:lblOffset val="100"/>
        <c:noMultiLvlLbl val="0"/>
      </c:catAx>
      <c:valAx>
        <c:axId val="7860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6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Chhattisgarh!$B$1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Chhattisgarh!$B$2:$B$5</c:f>
              <c:numCache>
                <c:formatCode>###,###,###</c:formatCode>
                <c:ptCount val="4"/>
                <c:pt idx="0">
                  <c:v>57.550460000000001</c:v>
                </c:pt>
                <c:pt idx="1">
                  <c:v>50.375028999999977</c:v>
                </c:pt>
                <c:pt idx="2">
                  <c:v>17.979851000000004</c:v>
                </c:pt>
                <c:pt idx="3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8-4FB1-BC30-8A76915180B6}"/>
            </c:ext>
          </c:extLst>
        </c:ser>
        <c:ser>
          <c:idx val="1"/>
          <c:order val="1"/>
          <c:tx>
            <c:strRef>
              <c:f>Chhattisgarh!$C$1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Chhattisgarh!$C$2:$C$5</c:f>
              <c:numCache>
                <c:formatCode>###,###,###</c:formatCode>
                <c:ptCount val="4"/>
                <c:pt idx="0">
                  <c:v>79.629199999999997</c:v>
                </c:pt>
                <c:pt idx="1">
                  <c:v>60.354436900000003</c:v>
                </c:pt>
                <c:pt idx="2">
                  <c:v>31.93158309999999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8-4FB1-BC30-8A76915180B6}"/>
            </c:ext>
          </c:extLst>
        </c:ser>
        <c:ser>
          <c:idx val="2"/>
          <c:order val="2"/>
          <c:tx>
            <c:strRef>
              <c:f>Chhattisgarh!$E$1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Chhattisgarh!$E$2:$E$5</c:f>
              <c:numCache>
                <c:formatCode>###,###,###</c:formatCode>
                <c:ptCount val="4"/>
                <c:pt idx="0">
                  <c:v>119.07333000000001</c:v>
                </c:pt>
                <c:pt idx="1">
                  <c:v>79.521294699999956</c:v>
                </c:pt>
                <c:pt idx="2">
                  <c:v>25.017495300000007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8-4FB1-BC30-8A76915180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112160"/>
        <c:axId val="786084320"/>
      </c:barChart>
      <c:catAx>
        <c:axId val="7861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84320"/>
        <c:crosses val="autoZero"/>
        <c:auto val="1"/>
        <c:lblAlgn val="ctr"/>
        <c:lblOffset val="100"/>
        <c:noMultiLvlLbl val="0"/>
      </c:catAx>
      <c:valAx>
        <c:axId val="7860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(Veg-Hy)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Chhattisgarh!$B$9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TOMATO</c:v>
                </c:pt>
                <c:pt idx="3">
                  <c:v>BEANS</c:v>
                </c:pt>
                <c:pt idx="4">
                  <c:v>BITTER GOURD</c:v>
                </c:pt>
                <c:pt idx="5">
                  <c:v>OKRA</c:v>
                </c:pt>
                <c:pt idx="6">
                  <c:v>CABBAGE</c:v>
                </c:pt>
                <c:pt idx="7">
                  <c:v>BOTTLE GOURD</c:v>
                </c:pt>
                <c:pt idx="8">
                  <c:v>RIDGE GOURD</c:v>
                </c:pt>
                <c:pt idx="9">
                  <c:v>SPONGE GOURD</c:v>
                </c:pt>
                <c:pt idx="10">
                  <c:v>WATER MELON</c:v>
                </c:pt>
                <c:pt idx="11">
                  <c:v>BRINJAL</c:v>
                </c:pt>
                <c:pt idx="12">
                  <c:v>CUCUMBER</c:v>
                </c:pt>
              </c:strCache>
            </c:strRef>
          </c:cat>
          <c:val>
            <c:numRef>
              <c:f>Chhattisgarh!$B$10:$B$22</c:f>
              <c:numCache>
                <c:formatCode>###,###,###</c:formatCode>
                <c:ptCount val="13"/>
                <c:pt idx="0">
                  <c:v>4.6737024000000007</c:v>
                </c:pt>
                <c:pt idx="1">
                  <c:v>7.5767453000000007</c:v>
                </c:pt>
                <c:pt idx="2">
                  <c:v>8.3572200999999993</c:v>
                </c:pt>
                <c:pt idx="3">
                  <c:v>3.3727149999999999</c:v>
                </c:pt>
                <c:pt idx="4">
                  <c:v>5.1129324000000009</c:v>
                </c:pt>
                <c:pt idx="5">
                  <c:v>11.818182</c:v>
                </c:pt>
                <c:pt idx="6">
                  <c:v>1.1898949999999999</c:v>
                </c:pt>
                <c:pt idx="7">
                  <c:v>1.4912459</c:v>
                </c:pt>
                <c:pt idx="8">
                  <c:v>0.89480039999999994</c:v>
                </c:pt>
                <c:pt idx="9">
                  <c:v>0.44856400000000002</c:v>
                </c:pt>
                <c:pt idx="10">
                  <c:v>3.0656534999999998</c:v>
                </c:pt>
                <c:pt idx="11">
                  <c:v>0.7377286999999999</c:v>
                </c:pt>
                <c:pt idx="12">
                  <c:v>1.6356442999999998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C-4101-B06C-CF4EC07C5E5A}"/>
            </c:ext>
          </c:extLst>
        </c:ser>
        <c:ser>
          <c:idx val="1"/>
          <c:order val="1"/>
          <c:tx>
            <c:strRef>
              <c:f>Chhattisgarh!$C$9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1.6666666666666718E-2"/>
                  <c:y val="-4.16666666666666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DC-4101-B06C-CF4EC07C5E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TOMATO</c:v>
                </c:pt>
                <c:pt idx="3">
                  <c:v>BEANS</c:v>
                </c:pt>
                <c:pt idx="4">
                  <c:v>BITTER GOURD</c:v>
                </c:pt>
                <c:pt idx="5">
                  <c:v>OKRA</c:v>
                </c:pt>
                <c:pt idx="6">
                  <c:v>CABBAGE</c:v>
                </c:pt>
                <c:pt idx="7">
                  <c:v>BOTTLE GOURD</c:v>
                </c:pt>
                <c:pt idx="8">
                  <c:v>RIDGE GOURD</c:v>
                </c:pt>
                <c:pt idx="9">
                  <c:v>SPONGE GOURD</c:v>
                </c:pt>
                <c:pt idx="10">
                  <c:v>WATER MELON</c:v>
                </c:pt>
                <c:pt idx="11">
                  <c:v>BRINJAL</c:v>
                </c:pt>
                <c:pt idx="12">
                  <c:v>CUCUMBER</c:v>
                </c:pt>
              </c:strCache>
            </c:strRef>
          </c:cat>
          <c:val>
            <c:numRef>
              <c:f>Chhattisgarh!$C$10:$C$22</c:f>
              <c:numCache>
                <c:formatCode>###,###,###</c:formatCode>
                <c:ptCount val="13"/>
                <c:pt idx="0">
                  <c:v>14.742556</c:v>
                </c:pt>
                <c:pt idx="1">
                  <c:v>17.118096699999999</c:v>
                </c:pt>
                <c:pt idx="2">
                  <c:v>9.1810363000000006</c:v>
                </c:pt>
                <c:pt idx="3">
                  <c:v>1.21028</c:v>
                </c:pt>
                <c:pt idx="4">
                  <c:v>2.8900496999999996</c:v>
                </c:pt>
                <c:pt idx="5">
                  <c:v>11.6431422</c:v>
                </c:pt>
                <c:pt idx="6">
                  <c:v>1.2394532999999999</c:v>
                </c:pt>
                <c:pt idx="7">
                  <c:v>1.4841928</c:v>
                </c:pt>
                <c:pt idx="8">
                  <c:v>0.48621429999999999</c:v>
                </c:pt>
                <c:pt idx="9">
                  <c:v>0.75330180000000002</c:v>
                </c:pt>
                <c:pt idx="10">
                  <c:v>-0.46174840000000011</c:v>
                </c:pt>
                <c:pt idx="11">
                  <c:v>0.12006069999999999</c:v>
                </c:pt>
                <c:pt idx="12">
                  <c:v>-5.2198499999999995E-2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C-4101-B06C-CF4EC07C5E5A}"/>
            </c:ext>
          </c:extLst>
        </c:ser>
        <c:ser>
          <c:idx val="2"/>
          <c:order val="2"/>
          <c:tx>
            <c:strRef>
              <c:f>Chhattisgarh!$E$9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TOMATO</c:v>
                </c:pt>
                <c:pt idx="3">
                  <c:v>BEANS</c:v>
                </c:pt>
                <c:pt idx="4">
                  <c:v>BITTER GOURD</c:v>
                </c:pt>
                <c:pt idx="5">
                  <c:v>OKRA</c:v>
                </c:pt>
                <c:pt idx="6">
                  <c:v>CABBAGE</c:v>
                </c:pt>
                <c:pt idx="7">
                  <c:v>BOTTLE GOURD</c:v>
                </c:pt>
                <c:pt idx="8">
                  <c:v>RIDGE GOURD</c:v>
                </c:pt>
                <c:pt idx="9">
                  <c:v>SPONGE GOURD</c:v>
                </c:pt>
                <c:pt idx="10">
                  <c:v>WATER MELON</c:v>
                </c:pt>
                <c:pt idx="11">
                  <c:v>BRINJAL</c:v>
                </c:pt>
                <c:pt idx="12">
                  <c:v>CUCUMBER</c:v>
                </c:pt>
              </c:strCache>
            </c:strRef>
          </c:cat>
          <c:val>
            <c:numRef>
              <c:f>Chhattisgarh!$E$10:$E$22</c:f>
              <c:numCache>
                <c:formatCode>###,###,###</c:formatCode>
                <c:ptCount val="13"/>
                <c:pt idx="0">
                  <c:v>45.566116700000009</c:v>
                </c:pt>
                <c:pt idx="1">
                  <c:v>13.237205100000001</c:v>
                </c:pt>
                <c:pt idx="2">
                  <c:v>5.3757118000000004</c:v>
                </c:pt>
                <c:pt idx="3">
                  <c:v>3.9345308999999995</c:v>
                </c:pt>
                <c:pt idx="4">
                  <c:v>2.9285560999999993</c:v>
                </c:pt>
                <c:pt idx="5">
                  <c:v>2.7634731000000006</c:v>
                </c:pt>
                <c:pt idx="6">
                  <c:v>2.5740020999999995</c:v>
                </c:pt>
                <c:pt idx="7">
                  <c:v>1.0027246000000001</c:v>
                </c:pt>
                <c:pt idx="8">
                  <c:v>0.66978249999999984</c:v>
                </c:pt>
                <c:pt idx="9">
                  <c:v>0.57859379999999994</c:v>
                </c:pt>
                <c:pt idx="10">
                  <c:v>0.48564119999999994</c:v>
                </c:pt>
                <c:pt idx="11">
                  <c:v>0.39595589999999997</c:v>
                </c:pt>
                <c:pt idx="12">
                  <c:v>9.0009000000000009E-3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C-4101-B06C-CF4EC07C5E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52160"/>
        <c:axId val="786070880"/>
      </c:barChart>
      <c:catAx>
        <c:axId val="78605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70880"/>
        <c:crosses val="autoZero"/>
        <c:auto val="1"/>
        <c:lblAlgn val="ctr"/>
        <c:lblOffset val="100"/>
        <c:noMultiLvlLbl val="0"/>
      </c:catAx>
      <c:valAx>
        <c:axId val="7860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Chhattisgarh!$B$26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Chhattisgarh!$A$27:$A$33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OKRA</c:v>
                </c:pt>
                <c:pt idx="3">
                  <c:v>RADISH</c:v>
                </c:pt>
                <c:pt idx="4">
                  <c:v>SPINACH ALL GREEN</c:v>
                </c:pt>
                <c:pt idx="5">
                  <c:v>CLUSTER BEANS</c:v>
                </c:pt>
                <c:pt idx="6">
                  <c:v>BEANS</c:v>
                </c:pt>
              </c:strCache>
            </c:strRef>
          </c:cat>
          <c:val>
            <c:numRef>
              <c:f>Chhattisgarh!$B$27:$B$33</c:f>
              <c:numCache>
                <c:formatCode>###,###,###</c:formatCode>
                <c:ptCount val="7"/>
                <c:pt idx="0">
                  <c:v>8.4187154</c:v>
                </c:pt>
                <c:pt idx="1">
                  <c:v>2.6617844999999996</c:v>
                </c:pt>
                <c:pt idx="2">
                  <c:v>2.5055749999999999</c:v>
                </c:pt>
                <c:pt idx="3">
                  <c:v>1.1968664</c:v>
                </c:pt>
                <c:pt idx="4">
                  <c:v>0.84446940000000004</c:v>
                </c:pt>
                <c:pt idx="5">
                  <c:v>1.7074100000000001</c:v>
                </c:pt>
                <c:pt idx="6">
                  <c:v>0.64503030000000006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B-4332-A7EC-6D42A3AE5F65}"/>
            </c:ext>
          </c:extLst>
        </c:ser>
        <c:ser>
          <c:idx val="1"/>
          <c:order val="1"/>
          <c:tx>
            <c:strRef>
              <c:f>Chhattisgarh!$C$26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Chhattisgarh!$A$27:$A$33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OKRA</c:v>
                </c:pt>
                <c:pt idx="3">
                  <c:v>RADISH</c:v>
                </c:pt>
                <c:pt idx="4">
                  <c:v>SPINACH ALL GREEN</c:v>
                </c:pt>
                <c:pt idx="5">
                  <c:v>CLUSTER BEANS</c:v>
                </c:pt>
                <c:pt idx="6">
                  <c:v>BEANS</c:v>
                </c:pt>
              </c:strCache>
            </c:strRef>
          </c:cat>
          <c:val>
            <c:numRef>
              <c:f>Chhattisgarh!$C$27:$C$33</c:f>
              <c:numCache>
                <c:formatCode>###,###,###</c:formatCode>
                <c:ptCount val="7"/>
                <c:pt idx="0">
                  <c:v>18.386279999999999</c:v>
                </c:pt>
                <c:pt idx="1">
                  <c:v>5.7391979000000006</c:v>
                </c:pt>
                <c:pt idx="2">
                  <c:v>2.4301868999999998</c:v>
                </c:pt>
                <c:pt idx="3">
                  <c:v>1.52945</c:v>
                </c:pt>
                <c:pt idx="4">
                  <c:v>1.6155008000000002</c:v>
                </c:pt>
                <c:pt idx="5">
                  <c:v>1.6021825000000001</c:v>
                </c:pt>
                <c:pt idx="6">
                  <c:v>0.62878500000000004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B-4332-A7EC-6D42A3AE5F65}"/>
            </c:ext>
          </c:extLst>
        </c:ser>
        <c:ser>
          <c:idx val="2"/>
          <c:order val="2"/>
          <c:tx>
            <c:strRef>
              <c:f>Chhattisgarh!$E$26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Chhattisgarh!$A$27:$A$33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OKRA</c:v>
                </c:pt>
                <c:pt idx="3">
                  <c:v>RADISH</c:v>
                </c:pt>
                <c:pt idx="4">
                  <c:v>SPINACH ALL GREEN</c:v>
                </c:pt>
                <c:pt idx="5">
                  <c:v>CLUSTER BEANS</c:v>
                </c:pt>
                <c:pt idx="6">
                  <c:v>BEANS</c:v>
                </c:pt>
              </c:strCache>
            </c:strRef>
          </c:cat>
          <c:val>
            <c:numRef>
              <c:f>Chhattisgarh!$E$27:$E$33</c:f>
              <c:numCache>
                <c:formatCode>###,###,###</c:formatCode>
                <c:ptCount val="7"/>
                <c:pt idx="0">
                  <c:v>14.436017000000001</c:v>
                </c:pt>
                <c:pt idx="1">
                  <c:v>5.5903799999999997</c:v>
                </c:pt>
                <c:pt idx="2">
                  <c:v>1.4314988999999998</c:v>
                </c:pt>
                <c:pt idx="3">
                  <c:v>1.4137227999999999</c:v>
                </c:pt>
                <c:pt idx="4">
                  <c:v>0.84240090000000001</c:v>
                </c:pt>
                <c:pt idx="5">
                  <c:v>0.66384179999999993</c:v>
                </c:pt>
                <c:pt idx="6">
                  <c:v>0.63963389999999998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B-4332-A7EC-6D42A3AE5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56960"/>
        <c:axId val="786051680"/>
      </c:barChart>
      <c:catAx>
        <c:axId val="786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1680"/>
        <c:crosses val="autoZero"/>
        <c:auto val="1"/>
        <c:lblAlgn val="ctr"/>
        <c:lblOffset val="100"/>
        <c:noMultiLvlLbl val="0"/>
      </c:catAx>
      <c:valAx>
        <c:axId val="7860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Sale By Crop Name (FC)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Chhattisgarh!$B$37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Chhattisgarh!$A$38:$A$39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Chhattisgarh!$B$38:$B$39</c:f>
              <c:numCache>
                <c:formatCode>###,###,###</c:formatCode>
                <c:ptCount val="2"/>
                <c:pt idx="0">
                  <c:v>48.909253800000009</c:v>
                </c:pt>
                <c:pt idx="1">
                  <c:v>8.6412061999999992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C-49C5-9C47-36A7033044F4}"/>
            </c:ext>
          </c:extLst>
        </c:ser>
        <c:ser>
          <c:idx val="1"/>
          <c:order val="1"/>
          <c:tx>
            <c:strRef>
              <c:f>Chhattisgarh!$C$37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Chhattisgarh!$A$38:$A$39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Chhattisgarh!$C$38:$C$39</c:f>
              <c:numCache>
                <c:formatCode>###,###,###</c:formatCode>
                <c:ptCount val="2"/>
                <c:pt idx="0">
                  <c:v>72.574874799999989</c:v>
                </c:pt>
                <c:pt idx="1">
                  <c:v>7.0543252000000001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C-49C5-9C47-36A7033044F4}"/>
            </c:ext>
          </c:extLst>
        </c:ser>
        <c:ser>
          <c:idx val="2"/>
          <c:order val="2"/>
          <c:tx>
            <c:strRef>
              <c:f>Chhattisgarh!$E$37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Chhattisgarh!$A$38:$A$39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Chhattisgarh!$E$38:$E$39</c:f>
              <c:numCache>
                <c:formatCode>###,###,###</c:formatCode>
                <c:ptCount val="2"/>
                <c:pt idx="0">
                  <c:v>116.84349350000001</c:v>
                </c:pt>
                <c:pt idx="1">
                  <c:v>2.2298364999999989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C-49C5-9C47-36A703304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104960"/>
        <c:axId val="786100160"/>
      </c:barChart>
      <c:catAx>
        <c:axId val="7861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00160"/>
        <c:crosses val="autoZero"/>
        <c:auto val="1"/>
        <c:lblAlgn val="ctr"/>
        <c:lblOffset val="100"/>
        <c:noMultiLvlLbl val="0"/>
      </c:catAx>
      <c:valAx>
        <c:axId val="78610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(FC-OP)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Chhattisgarh!$B$43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Chhattisgarh!$A$44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Chhattisgarh!$B$44</c:f>
              <c:numCache>
                <c:formatCode>###,###,###</c:formatCode>
                <c:ptCount val="1"/>
                <c:pt idx="0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3-4DEB-A19F-B67712549C94}"/>
            </c:ext>
          </c:extLst>
        </c:ser>
        <c:ser>
          <c:idx val="1"/>
          <c:order val="1"/>
          <c:tx>
            <c:strRef>
              <c:f>Chhattisgarh!$C$43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Chhattisgarh!$A$44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Chhattisgarh!$C$44</c:f>
              <c:numCache>
                <c:formatCode>###,###,###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43-4DEB-A19F-B67712549C94}"/>
            </c:ext>
          </c:extLst>
        </c:ser>
        <c:ser>
          <c:idx val="2"/>
          <c:order val="2"/>
          <c:tx>
            <c:strRef>
              <c:f>Chhattisgarh!$E$43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Chhattisgarh!$A$44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Chhattisgarh!$E$44</c:f>
              <c:numCache>
                <c:formatCode>###,###,###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43-4DEB-A19F-B6771254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230752"/>
        <c:axId val="1034228832"/>
      </c:barChart>
      <c:catAx>
        <c:axId val="1034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28832"/>
        <c:crosses val="autoZero"/>
        <c:auto val="1"/>
        <c:lblAlgn val="ctr"/>
        <c:lblOffset val="100"/>
        <c:noMultiLvlLbl val="0"/>
      </c:catAx>
      <c:valAx>
        <c:axId val="10342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3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Rajasthan!$B$1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Rajasthan!$B$2:$B$5</c:f>
              <c:numCache>
                <c:formatCode>###,###,###</c:formatCode>
                <c:ptCount val="4"/>
                <c:pt idx="0">
                  <c:v>193.37399930000001</c:v>
                </c:pt>
                <c:pt idx="1">
                  <c:v>9.694500699999999</c:v>
                </c:pt>
                <c:pt idx="2">
                  <c:v>11.041840000000001</c:v>
                </c:pt>
                <c:pt idx="3">
                  <c:v>22.305830000000011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E1F-BEBD-9932DA2B274E}"/>
            </c:ext>
          </c:extLst>
        </c:ser>
        <c:ser>
          <c:idx val="1"/>
          <c:order val="1"/>
          <c:tx>
            <c:strRef>
              <c:f>Rajasthan!$C$1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Rajasthan!$C$2:$C$5</c:f>
              <c:numCache>
                <c:formatCode>###,###,###</c:formatCode>
                <c:ptCount val="4"/>
                <c:pt idx="0">
                  <c:v>116.7470648</c:v>
                </c:pt>
                <c:pt idx="1">
                  <c:v>24.2046952</c:v>
                </c:pt>
                <c:pt idx="2">
                  <c:v>17.138000000000002</c:v>
                </c:pt>
                <c:pt idx="3">
                  <c:v>63.913150000000037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D-4E1F-BEBD-9932DA2B274E}"/>
            </c:ext>
          </c:extLst>
        </c:ser>
        <c:ser>
          <c:idx val="2"/>
          <c:order val="2"/>
          <c:tx>
            <c:strRef>
              <c:f>Rajasthan!$E$1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Rajasthan!$E$2:$E$5</c:f>
              <c:numCache>
                <c:formatCode>###,###,###</c:formatCode>
                <c:ptCount val="4"/>
                <c:pt idx="0">
                  <c:v>117.41992140000001</c:v>
                </c:pt>
                <c:pt idx="1">
                  <c:v>23.711359599999998</c:v>
                </c:pt>
                <c:pt idx="2">
                  <c:v>15.643755000000001</c:v>
                </c:pt>
                <c:pt idx="3">
                  <c:v>9.5271240000000041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D-4E1F-BEBD-9932DA2B27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48208"/>
        <c:axId val="703551088"/>
      </c:barChart>
      <c:catAx>
        <c:axId val="7035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1088"/>
        <c:crosses val="autoZero"/>
        <c:auto val="1"/>
        <c:lblAlgn val="ctr"/>
        <c:lblOffset val="100"/>
        <c:noMultiLvlLbl val="0"/>
      </c:catAx>
      <c:valAx>
        <c:axId val="7035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Rajasthan!$B$9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Rajasthan!$A$10:$A$22</c:f>
              <c:strCache>
                <c:ptCount val="13"/>
                <c:pt idx="0">
                  <c:v>CHILLY</c:v>
                </c:pt>
                <c:pt idx="1">
                  <c:v>COWPEA</c:v>
                </c:pt>
                <c:pt idx="2">
                  <c:v>BEANS</c:v>
                </c:pt>
                <c:pt idx="3">
                  <c:v>BRINJAL</c:v>
                </c:pt>
                <c:pt idx="4">
                  <c:v>CABBAGE</c:v>
                </c:pt>
                <c:pt idx="5">
                  <c:v>OKRA</c:v>
                </c:pt>
                <c:pt idx="6">
                  <c:v>BOTTLE GOURD</c:v>
                </c:pt>
                <c:pt idx="7">
                  <c:v>TOMATO</c:v>
                </c:pt>
                <c:pt idx="8">
                  <c:v>SPONGE GOURD</c:v>
                </c:pt>
                <c:pt idx="9">
                  <c:v>CUCUMBER</c:v>
                </c:pt>
                <c:pt idx="10">
                  <c:v>RIDGE GOURD</c:v>
                </c:pt>
                <c:pt idx="11">
                  <c:v>BITTER GOURD</c:v>
                </c:pt>
                <c:pt idx="12">
                  <c:v>WATER MELON</c:v>
                </c:pt>
              </c:strCache>
            </c:strRef>
          </c:cat>
          <c:val>
            <c:numRef>
              <c:f>Rajasthan!$B$10:$B$22</c:f>
              <c:numCache>
                <c:formatCode>###,###,###</c:formatCode>
                <c:ptCount val="13"/>
                <c:pt idx="0">
                  <c:v>2.2059000000000002</c:v>
                </c:pt>
                <c:pt idx="1">
                  <c:v>6.7062999999999997</c:v>
                </c:pt>
                <c:pt idx="2">
                  <c:v>0</c:v>
                </c:pt>
                <c:pt idx="3">
                  <c:v>0.76275000000000004</c:v>
                </c:pt>
                <c:pt idx="4">
                  <c:v>0.64548000000000005</c:v>
                </c:pt>
                <c:pt idx="5">
                  <c:v>2.2364858999999995</c:v>
                </c:pt>
                <c:pt idx="6">
                  <c:v>1.2282195999999999</c:v>
                </c:pt>
                <c:pt idx="7">
                  <c:v>0.52434000000000003</c:v>
                </c:pt>
                <c:pt idx="8">
                  <c:v>0.20456959999999999</c:v>
                </c:pt>
                <c:pt idx="9">
                  <c:v>3.6450000000000003E-2</c:v>
                </c:pt>
                <c:pt idx="10">
                  <c:v>0.90399539999999989</c:v>
                </c:pt>
                <c:pt idx="11">
                  <c:v>1.7402395000000002</c:v>
                </c:pt>
                <c:pt idx="12">
                  <c:v>5.1111000000000004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6-4E9B-8899-A07BE74C92CD}"/>
            </c:ext>
          </c:extLst>
        </c:ser>
        <c:ser>
          <c:idx val="1"/>
          <c:order val="1"/>
          <c:tx>
            <c:strRef>
              <c:f>Rajasthan!$C$9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Rajasthan!$A$10:$A$22</c:f>
              <c:strCache>
                <c:ptCount val="13"/>
                <c:pt idx="0">
                  <c:v>CHILLY</c:v>
                </c:pt>
                <c:pt idx="1">
                  <c:v>COWPEA</c:v>
                </c:pt>
                <c:pt idx="2">
                  <c:v>BEANS</c:v>
                </c:pt>
                <c:pt idx="3">
                  <c:v>BRINJAL</c:v>
                </c:pt>
                <c:pt idx="4">
                  <c:v>CABBAGE</c:v>
                </c:pt>
                <c:pt idx="5">
                  <c:v>OKRA</c:v>
                </c:pt>
                <c:pt idx="6">
                  <c:v>BOTTLE GOURD</c:v>
                </c:pt>
                <c:pt idx="7">
                  <c:v>TOMATO</c:v>
                </c:pt>
                <c:pt idx="8">
                  <c:v>SPONGE GOURD</c:v>
                </c:pt>
                <c:pt idx="9">
                  <c:v>CUCUMBER</c:v>
                </c:pt>
                <c:pt idx="10">
                  <c:v>RIDGE GOURD</c:v>
                </c:pt>
                <c:pt idx="11">
                  <c:v>BITTER GOURD</c:v>
                </c:pt>
                <c:pt idx="12">
                  <c:v>WATER MELON</c:v>
                </c:pt>
              </c:strCache>
            </c:strRef>
          </c:cat>
          <c:val>
            <c:numRef>
              <c:f>Rajasthan!$C$10:$C$22</c:f>
              <c:numCache>
                <c:formatCode>###,###,###</c:formatCode>
                <c:ptCount val="13"/>
                <c:pt idx="0">
                  <c:v>3.8657699999999999</c:v>
                </c:pt>
                <c:pt idx="1">
                  <c:v>15.8801451</c:v>
                </c:pt>
                <c:pt idx="2">
                  <c:v>0.32129999999999997</c:v>
                </c:pt>
                <c:pt idx="3">
                  <c:v>2.0213986999999998</c:v>
                </c:pt>
                <c:pt idx="4">
                  <c:v>0.4158</c:v>
                </c:pt>
                <c:pt idx="5">
                  <c:v>20.348337400000002</c:v>
                </c:pt>
                <c:pt idx="6">
                  <c:v>2.5143742000000002</c:v>
                </c:pt>
                <c:pt idx="7">
                  <c:v>2.4077700000000002</c:v>
                </c:pt>
                <c:pt idx="8">
                  <c:v>0.75680999999999998</c:v>
                </c:pt>
                <c:pt idx="9">
                  <c:v>0.55079999999999996</c:v>
                </c:pt>
                <c:pt idx="10">
                  <c:v>2.6318680000000003</c:v>
                </c:pt>
                <c:pt idx="11">
                  <c:v>4.3309765999999996</c:v>
                </c:pt>
                <c:pt idx="12">
                  <c:v>7.8677999999999999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6-4E9B-8899-A07BE74C92CD}"/>
            </c:ext>
          </c:extLst>
        </c:ser>
        <c:ser>
          <c:idx val="2"/>
          <c:order val="2"/>
          <c:tx>
            <c:strRef>
              <c:f>Rajasthan!$E$9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Rajasthan!$A$10:$A$22</c:f>
              <c:strCache>
                <c:ptCount val="13"/>
                <c:pt idx="0">
                  <c:v>CHILLY</c:v>
                </c:pt>
                <c:pt idx="1">
                  <c:v>COWPEA</c:v>
                </c:pt>
                <c:pt idx="2">
                  <c:v>BEANS</c:v>
                </c:pt>
                <c:pt idx="3">
                  <c:v>BRINJAL</c:v>
                </c:pt>
                <c:pt idx="4">
                  <c:v>CABBAGE</c:v>
                </c:pt>
                <c:pt idx="5">
                  <c:v>OKRA</c:v>
                </c:pt>
                <c:pt idx="6">
                  <c:v>BOTTLE GOURD</c:v>
                </c:pt>
                <c:pt idx="7">
                  <c:v>TOMATO</c:v>
                </c:pt>
                <c:pt idx="8">
                  <c:v>SPONGE GOURD</c:v>
                </c:pt>
                <c:pt idx="9">
                  <c:v>CUCUMBER</c:v>
                </c:pt>
                <c:pt idx="10">
                  <c:v>RIDGE GOURD</c:v>
                </c:pt>
                <c:pt idx="11">
                  <c:v>BITTER GOURD</c:v>
                </c:pt>
                <c:pt idx="12">
                  <c:v>WATER MELON</c:v>
                </c:pt>
              </c:strCache>
            </c:strRef>
          </c:cat>
          <c:val>
            <c:numRef>
              <c:f>Rajasthan!$E$10:$E$22</c:f>
              <c:numCache>
                <c:formatCode>###,###,###</c:formatCode>
                <c:ptCount val="13"/>
                <c:pt idx="0">
                  <c:v>4.2396380000000002</c:v>
                </c:pt>
                <c:pt idx="1">
                  <c:v>2.2261467000000001</c:v>
                </c:pt>
                <c:pt idx="2">
                  <c:v>2.2009192</c:v>
                </c:pt>
                <c:pt idx="3">
                  <c:v>1.0371633</c:v>
                </c:pt>
                <c:pt idx="4">
                  <c:v>0.84150000000000003</c:v>
                </c:pt>
                <c:pt idx="5">
                  <c:v>0.72413939999999999</c:v>
                </c:pt>
                <c:pt idx="6">
                  <c:v>0.6431386</c:v>
                </c:pt>
                <c:pt idx="7">
                  <c:v>0.55872520000000014</c:v>
                </c:pt>
                <c:pt idx="8">
                  <c:v>0.13010330000000001</c:v>
                </c:pt>
                <c:pt idx="9">
                  <c:v>3.3535200000000001E-2</c:v>
                </c:pt>
                <c:pt idx="10">
                  <c:v>2.2856699999999983E-2</c:v>
                </c:pt>
                <c:pt idx="11">
                  <c:v>-0.32814100000000007</c:v>
                </c:pt>
                <c:pt idx="12">
                  <c:v>-2.8026005999999999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6-4E9B-8899-A07BE74C92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23728"/>
        <c:axId val="703541488"/>
      </c:barChart>
      <c:catAx>
        <c:axId val="7035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1488"/>
        <c:crosses val="autoZero"/>
        <c:auto val="1"/>
        <c:lblAlgn val="ctr"/>
        <c:lblOffset val="100"/>
        <c:noMultiLvlLbl val="0"/>
      </c:catAx>
      <c:valAx>
        <c:axId val="7035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Rajasthan!$B$26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Rajasthan!$A$27:$A$32</c:f>
              <c:strCache>
                <c:ptCount val="6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OKRA</c:v>
                </c:pt>
                <c:pt idx="5">
                  <c:v>CLUSTER BEANS</c:v>
                </c:pt>
              </c:strCache>
            </c:strRef>
          </c:cat>
          <c:val>
            <c:numRef>
              <c:f>Rajasthan!$B$27:$B$32</c:f>
              <c:numCache>
                <c:formatCode>###,###,###</c:formatCode>
                <c:ptCount val="6"/>
                <c:pt idx="0">
                  <c:v>7.5747406999999995</c:v>
                </c:pt>
                <c:pt idx="1">
                  <c:v>0.45900000000000002</c:v>
                </c:pt>
                <c:pt idx="2">
                  <c:v>0</c:v>
                </c:pt>
                <c:pt idx="3">
                  <c:v>0</c:v>
                </c:pt>
                <c:pt idx="4">
                  <c:v>1.18736</c:v>
                </c:pt>
                <c:pt idx="5">
                  <c:v>0.47339999999999999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1-4063-898A-2B1CAFEC4265}"/>
            </c:ext>
          </c:extLst>
        </c:ser>
        <c:ser>
          <c:idx val="1"/>
          <c:order val="1"/>
          <c:tx>
            <c:strRef>
              <c:f>Rajasthan!$C$26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Rajasthan!$A$27:$A$32</c:f>
              <c:strCache>
                <c:ptCount val="6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OKRA</c:v>
                </c:pt>
                <c:pt idx="5">
                  <c:v>CLUSTER BEANS</c:v>
                </c:pt>
              </c:strCache>
            </c:strRef>
          </c:cat>
          <c:val>
            <c:numRef>
              <c:f>Rajasthan!$C$27:$C$32</c:f>
              <c:numCache>
                <c:formatCode>###,###,###</c:formatCode>
                <c:ptCount val="6"/>
                <c:pt idx="0">
                  <c:v>18.539549999999998</c:v>
                </c:pt>
                <c:pt idx="1">
                  <c:v>2.0735999999999999</c:v>
                </c:pt>
                <c:pt idx="2">
                  <c:v>0.38655519999999999</c:v>
                </c:pt>
                <c:pt idx="3">
                  <c:v>0.21734999999999999</c:v>
                </c:pt>
                <c:pt idx="4">
                  <c:v>2.4692400000000001</c:v>
                </c:pt>
                <c:pt idx="5">
                  <c:v>0.51839999999999997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1-4063-898A-2B1CAFEC4265}"/>
            </c:ext>
          </c:extLst>
        </c:ser>
        <c:ser>
          <c:idx val="2"/>
          <c:order val="2"/>
          <c:tx>
            <c:strRef>
              <c:f>Rajasthan!$E$26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Rajasthan!$A$27:$A$32</c:f>
              <c:strCache>
                <c:ptCount val="6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OKRA</c:v>
                </c:pt>
                <c:pt idx="5">
                  <c:v>CLUSTER BEANS</c:v>
                </c:pt>
              </c:strCache>
            </c:strRef>
          </c:cat>
          <c:val>
            <c:numRef>
              <c:f>Rajasthan!$E$27:$E$32</c:f>
              <c:numCache>
                <c:formatCode>###,###,###</c:formatCode>
                <c:ptCount val="6"/>
                <c:pt idx="0">
                  <c:v>21.478503</c:v>
                </c:pt>
                <c:pt idx="1">
                  <c:v>1.5228008000000002</c:v>
                </c:pt>
                <c:pt idx="2">
                  <c:v>0.39150000000000001</c:v>
                </c:pt>
                <c:pt idx="3">
                  <c:v>0.3111758</c:v>
                </c:pt>
                <c:pt idx="4">
                  <c:v>7.3800000000000003E-3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1-4063-898A-2B1CAFEC42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27568"/>
        <c:axId val="703513168"/>
      </c:barChart>
      <c:catAx>
        <c:axId val="7035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13168"/>
        <c:crosses val="autoZero"/>
        <c:auto val="1"/>
        <c:lblAlgn val="ctr"/>
        <c:lblOffset val="100"/>
        <c:noMultiLvlLbl val="0"/>
      </c:catAx>
      <c:valAx>
        <c:axId val="7035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Rajasthan!$B$36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Rajasthan!$A$37:$A$40</c:f>
              <c:strCache>
                <c:ptCount val="4"/>
                <c:pt idx="0">
                  <c:v>MAIZE</c:v>
                </c:pt>
                <c:pt idx="1">
                  <c:v>BAJRA</c:v>
                </c:pt>
                <c:pt idx="2">
                  <c:v>COTTON</c:v>
                </c:pt>
                <c:pt idx="3">
                  <c:v>MUSTARD</c:v>
                </c:pt>
              </c:strCache>
            </c:strRef>
          </c:cat>
          <c:val>
            <c:numRef>
              <c:f>Rajasthan!$B$37:$B$40</c:f>
              <c:numCache>
                <c:formatCode>###,###,###</c:formatCode>
                <c:ptCount val="4"/>
                <c:pt idx="0">
                  <c:v>13.409243500000001</c:v>
                </c:pt>
                <c:pt idx="1">
                  <c:v>25.315855800000001</c:v>
                </c:pt>
                <c:pt idx="2">
                  <c:v>154.6489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2-48D4-9DFE-C265A5A7A380}"/>
            </c:ext>
          </c:extLst>
        </c:ser>
        <c:ser>
          <c:idx val="1"/>
          <c:order val="1"/>
          <c:tx>
            <c:strRef>
              <c:f>Rajasthan!$C$36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Rajasthan!$A$37:$A$40</c:f>
              <c:strCache>
                <c:ptCount val="4"/>
                <c:pt idx="0">
                  <c:v>MAIZE</c:v>
                </c:pt>
                <c:pt idx="1">
                  <c:v>BAJRA</c:v>
                </c:pt>
                <c:pt idx="2">
                  <c:v>COTTON</c:v>
                </c:pt>
                <c:pt idx="3">
                  <c:v>MUSTARD</c:v>
                </c:pt>
              </c:strCache>
            </c:strRef>
          </c:cat>
          <c:val>
            <c:numRef>
              <c:f>Rajasthan!$C$37:$C$40</c:f>
              <c:numCache>
                <c:formatCode>###,###,###</c:formatCode>
                <c:ptCount val="4"/>
                <c:pt idx="0">
                  <c:v>32.822404800000001</c:v>
                </c:pt>
                <c:pt idx="1">
                  <c:v>19.625780000000002</c:v>
                </c:pt>
                <c:pt idx="2">
                  <c:v>64.298879999999997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2-48D4-9DFE-C265A5A7A380}"/>
            </c:ext>
          </c:extLst>
        </c:ser>
        <c:ser>
          <c:idx val="2"/>
          <c:order val="2"/>
          <c:tx>
            <c:strRef>
              <c:f>Rajasthan!$E$36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Rajasthan!$A$37:$A$40</c:f>
              <c:strCache>
                <c:ptCount val="4"/>
                <c:pt idx="0">
                  <c:v>MAIZE</c:v>
                </c:pt>
                <c:pt idx="1">
                  <c:v>BAJRA</c:v>
                </c:pt>
                <c:pt idx="2">
                  <c:v>COTTON</c:v>
                </c:pt>
                <c:pt idx="3">
                  <c:v>MUSTARD</c:v>
                </c:pt>
              </c:strCache>
            </c:strRef>
          </c:cat>
          <c:val>
            <c:numRef>
              <c:f>Rajasthan!$E$37:$E$40</c:f>
              <c:numCache>
                <c:formatCode>###,###,###</c:formatCode>
                <c:ptCount val="4"/>
                <c:pt idx="0">
                  <c:v>53.046099099999999</c:v>
                </c:pt>
                <c:pt idx="1">
                  <c:v>27.848593599999997</c:v>
                </c:pt>
                <c:pt idx="2">
                  <c:v>23.873257500000001</c:v>
                </c:pt>
                <c:pt idx="3">
                  <c:v>12.651971200000002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2-48D4-9DFE-C265A5A7A3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51504"/>
        <c:axId val="133168784"/>
      </c:barChart>
      <c:catAx>
        <c:axId val="1331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8784"/>
        <c:crosses val="autoZero"/>
        <c:auto val="1"/>
        <c:lblAlgn val="ctr"/>
        <c:lblOffset val="100"/>
        <c:noMultiLvlLbl val="0"/>
      </c:catAx>
      <c:valAx>
        <c:axId val="1331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Rajasthan!$B$44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Rajasthan!$B$45</c:f>
              <c:numCache>
                <c:formatCode>###,###,###</c:formatCode>
                <c:ptCount val="1"/>
                <c:pt idx="0">
                  <c:v>11.041840000000001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2-4571-B1C4-A86C5E03AFB6}"/>
            </c:ext>
          </c:extLst>
        </c:ser>
        <c:ser>
          <c:idx val="1"/>
          <c:order val="1"/>
          <c:tx>
            <c:strRef>
              <c:f>Rajasthan!$C$44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Rajasthan!$C$45</c:f>
              <c:numCache>
                <c:formatCode>###,###,###</c:formatCode>
                <c:ptCount val="1"/>
                <c:pt idx="0">
                  <c:v>17.138000000000002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2-4571-B1C4-A86C5E03AFB6}"/>
            </c:ext>
          </c:extLst>
        </c:ser>
        <c:ser>
          <c:idx val="2"/>
          <c:order val="2"/>
          <c:tx>
            <c:strRef>
              <c:f>Rajasthan!$E$44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Rajasthan!$A$45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Rajasthan!$E$45</c:f>
              <c:numCache>
                <c:formatCode>###,###,###</c:formatCode>
                <c:ptCount val="1"/>
                <c:pt idx="0">
                  <c:v>15.643755000000001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2-4571-B1C4-A86C5E03AF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53120"/>
        <c:axId val="786054080"/>
      </c:barChart>
      <c:catAx>
        <c:axId val="78605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4080"/>
        <c:crosses val="autoZero"/>
        <c:auto val="1"/>
        <c:lblAlgn val="ctr"/>
        <c:lblOffset val="100"/>
        <c:noMultiLvlLbl val="0"/>
      </c:catAx>
      <c:valAx>
        <c:axId val="7860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UP!$B$2:$B$5</c:f>
              <c:numCache>
                <c:formatCode>###,###,###</c:formatCode>
                <c:ptCount val="4"/>
                <c:pt idx="0">
                  <c:v>318.87251089999995</c:v>
                </c:pt>
                <c:pt idx="1">
                  <c:v>40.398539999999997</c:v>
                </c:pt>
                <c:pt idx="2">
                  <c:v>32.83211</c:v>
                </c:pt>
                <c:pt idx="3">
                  <c:v>35.643019100000004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47F5-A6F1-E70A4C564E9E}"/>
            </c:ext>
          </c:extLst>
        </c:ser>
        <c:ser>
          <c:idx val="1"/>
          <c:order val="1"/>
          <c:tx>
            <c:strRef>
              <c:f>UP!$C$1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UP!$C$2:$C$5</c:f>
              <c:numCache>
                <c:formatCode>###,###,###</c:formatCode>
                <c:ptCount val="4"/>
                <c:pt idx="0">
                  <c:v>428.3198999999999</c:v>
                </c:pt>
                <c:pt idx="1">
                  <c:v>46.923729999999999</c:v>
                </c:pt>
                <c:pt idx="2">
                  <c:v>41.439430000000002</c:v>
                </c:pt>
                <c:pt idx="3">
                  <c:v>44.948169999999998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7-47F5-A6F1-E70A4C564E9E}"/>
            </c:ext>
          </c:extLst>
        </c:ser>
        <c:ser>
          <c:idx val="2"/>
          <c:order val="2"/>
          <c:tx>
            <c:strRef>
              <c:f>UP!$E$1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UP!$A$2:$A$5</c:f>
              <c:strCache>
                <c:ptCount val="4"/>
                <c:pt idx="0">
                  <c:v>VEG - HYBRID</c:v>
                </c:pt>
                <c:pt idx="1">
                  <c:v>FIELD CROP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UP!$E$2:$E$5</c:f>
              <c:numCache>
                <c:formatCode>###,###,###</c:formatCode>
                <c:ptCount val="4"/>
                <c:pt idx="0">
                  <c:v>310.01591189999999</c:v>
                </c:pt>
                <c:pt idx="1">
                  <c:v>68.690316600000003</c:v>
                </c:pt>
                <c:pt idx="2">
                  <c:v>45.18</c:v>
                </c:pt>
                <c:pt idx="3">
                  <c:v>19.446361499999998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7-47F5-A6F1-E70A4C564E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96736"/>
        <c:axId val="552282336"/>
      </c:barChart>
      <c:catAx>
        <c:axId val="5522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82336"/>
        <c:crosses val="autoZero"/>
        <c:auto val="1"/>
        <c:lblAlgn val="ctr"/>
        <c:lblOffset val="100"/>
        <c:noMultiLvlLbl val="0"/>
      </c:catAx>
      <c:valAx>
        <c:axId val="5522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UP!$A$10:$A$23</c:f>
              <c:strCache>
                <c:ptCount val="14"/>
                <c:pt idx="0">
                  <c:v>CHILLY</c:v>
                </c:pt>
                <c:pt idx="1">
                  <c:v>COWPEA</c:v>
                </c:pt>
                <c:pt idx="2">
                  <c:v>BRINJAL</c:v>
                </c:pt>
                <c:pt idx="3">
                  <c:v>TOMATO</c:v>
                </c:pt>
                <c:pt idx="4">
                  <c:v>BEETROOT</c:v>
                </c:pt>
                <c:pt idx="5">
                  <c:v>BITTER GOURD</c:v>
                </c:pt>
                <c:pt idx="6">
                  <c:v>CABBAGE</c:v>
                </c:pt>
                <c:pt idx="7">
                  <c:v>BEANS</c:v>
                </c:pt>
                <c:pt idx="8">
                  <c:v>BOTTLE GOURD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CUCUMBER</c:v>
                </c:pt>
                <c:pt idx="12">
                  <c:v>WATER MELON</c:v>
                </c:pt>
                <c:pt idx="13">
                  <c:v>OKRA</c:v>
                </c:pt>
              </c:strCache>
            </c:strRef>
          </c:cat>
          <c:val>
            <c:numRef>
              <c:f>UP!$B$10:$B$23</c:f>
              <c:numCache>
                <c:formatCode>###,###,###</c:formatCode>
                <c:ptCount val="14"/>
                <c:pt idx="0">
                  <c:v>168.60964899999999</c:v>
                </c:pt>
                <c:pt idx="1">
                  <c:v>28.086453799999997</c:v>
                </c:pt>
                <c:pt idx="2">
                  <c:v>12.2647625</c:v>
                </c:pt>
                <c:pt idx="3">
                  <c:v>3.0880774999999998</c:v>
                </c:pt>
                <c:pt idx="4">
                  <c:v>0</c:v>
                </c:pt>
                <c:pt idx="5">
                  <c:v>16.091158700000001</c:v>
                </c:pt>
                <c:pt idx="6">
                  <c:v>4.6777477000000003</c:v>
                </c:pt>
                <c:pt idx="7">
                  <c:v>0.32129999999999997</c:v>
                </c:pt>
                <c:pt idx="8">
                  <c:v>5.5837341</c:v>
                </c:pt>
                <c:pt idx="9">
                  <c:v>4.6800000000000001E-2</c:v>
                </c:pt>
                <c:pt idx="10">
                  <c:v>0.13500000000000001</c:v>
                </c:pt>
                <c:pt idx="11">
                  <c:v>1.6062811000000001</c:v>
                </c:pt>
                <c:pt idx="12">
                  <c:v>3.6443735000000008</c:v>
                </c:pt>
                <c:pt idx="13">
                  <c:v>74.717173000000003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2-474B-9DEF-2113CAE85D28}"/>
            </c:ext>
          </c:extLst>
        </c:ser>
        <c:ser>
          <c:idx val="1"/>
          <c:order val="1"/>
          <c:tx>
            <c:strRef>
              <c:f>UP!$C$9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332E-3"/>
                  <c:y val="-5.5555555555555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62-474B-9DEF-2113CAE85D28}"/>
                </c:ext>
              </c:extLst>
            </c:dLbl>
            <c:dLbl>
              <c:idx val="2"/>
              <c:layout>
                <c:manualLayout>
                  <c:x val="1.1111111111111112E-2"/>
                  <c:y val="-4.6296296296296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62-474B-9DEF-2113CAE85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UP!$A$10:$A$23</c:f>
              <c:strCache>
                <c:ptCount val="14"/>
                <c:pt idx="0">
                  <c:v>CHILLY</c:v>
                </c:pt>
                <c:pt idx="1">
                  <c:v>COWPEA</c:v>
                </c:pt>
                <c:pt idx="2">
                  <c:v>BRINJAL</c:v>
                </c:pt>
                <c:pt idx="3">
                  <c:v>TOMATO</c:v>
                </c:pt>
                <c:pt idx="4">
                  <c:v>BEETROOT</c:v>
                </c:pt>
                <c:pt idx="5">
                  <c:v>BITTER GOURD</c:v>
                </c:pt>
                <c:pt idx="6">
                  <c:v>CABBAGE</c:v>
                </c:pt>
                <c:pt idx="7">
                  <c:v>BEANS</c:v>
                </c:pt>
                <c:pt idx="8">
                  <c:v>BOTTLE GOURD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CUCUMBER</c:v>
                </c:pt>
                <c:pt idx="12">
                  <c:v>WATER MELON</c:v>
                </c:pt>
                <c:pt idx="13">
                  <c:v>OKRA</c:v>
                </c:pt>
              </c:strCache>
            </c:strRef>
          </c:cat>
          <c:val>
            <c:numRef>
              <c:f>UP!$C$10:$C$23</c:f>
              <c:numCache>
                <c:formatCode>###,###,###</c:formatCode>
                <c:ptCount val="14"/>
                <c:pt idx="0">
                  <c:v>163.4651561</c:v>
                </c:pt>
                <c:pt idx="1">
                  <c:v>92.260555200000013</c:v>
                </c:pt>
                <c:pt idx="2">
                  <c:v>21.425316899999999</c:v>
                </c:pt>
                <c:pt idx="3">
                  <c:v>7.0341500000000003</c:v>
                </c:pt>
                <c:pt idx="4">
                  <c:v>0.97199999999999998</c:v>
                </c:pt>
                <c:pt idx="5">
                  <c:v>14.463115200000001</c:v>
                </c:pt>
                <c:pt idx="6">
                  <c:v>7.8869300000000004</c:v>
                </c:pt>
                <c:pt idx="7">
                  <c:v>1.2370160000000001</c:v>
                </c:pt>
                <c:pt idx="8">
                  <c:v>6.8382100000000001</c:v>
                </c:pt>
                <c:pt idx="9">
                  <c:v>-1.8720000000000001E-2</c:v>
                </c:pt>
                <c:pt idx="10">
                  <c:v>0.10008</c:v>
                </c:pt>
                <c:pt idx="11">
                  <c:v>1.9460336999999999</c:v>
                </c:pt>
                <c:pt idx="12">
                  <c:v>10.061099300000002</c:v>
                </c:pt>
                <c:pt idx="13">
                  <c:v>100.64895760000002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2-474B-9DEF-2113CAE85D28}"/>
            </c:ext>
          </c:extLst>
        </c:ser>
        <c:ser>
          <c:idx val="2"/>
          <c:order val="2"/>
          <c:tx>
            <c:strRef>
              <c:f>UP!$E$9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2777777777777778E-2"/>
                  <c:y val="-2.121889068003332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62-474B-9DEF-2113CAE85D28}"/>
                </c:ext>
              </c:extLst>
            </c:dLbl>
            <c:dLbl>
              <c:idx val="1"/>
              <c:layout>
                <c:manualLayout>
                  <c:x val="3.3333333333333284E-2"/>
                  <c:y val="-1.38888888888889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62-474B-9DEF-2113CAE85D28}"/>
                </c:ext>
              </c:extLst>
            </c:dLbl>
            <c:dLbl>
              <c:idx val="2"/>
              <c:layout>
                <c:manualLayout>
                  <c:x val="1.6666666666666666E-2"/>
                  <c:y val="-4.16666666666667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62-474B-9DEF-2113CAE85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UP!$A$10:$A$23</c:f>
              <c:strCache>
                <c:ptCount val="14"/>
                <c:pt idx="0">
                  <c:v>CHILLY</c:v>
                </c:pt>
                <c:pt idx="1">
                  <c:v>COWPEA</c:v>
                </c:pt>
                <c:pt idx="2">
                  <c:v>BRINJAL</c:v>
                </c:pt>
                <c:pt idx="3">
                  <c:v>TOMATO</c:v>
                </c:pt>
                <c:pt idx="4">
                  <c:v>BEETROOT</c:v>
                </c:pt>
                <c:pt idx="5">
                  <c:v>BITTER GOURD</c:v>
                </c:pt>
                <c:pt idx="6">
                  <c:v>CABBAGE</c:v>
                </c:pt>
                <c:pt idx="7">
                  <c:v>BEANS</c:v>
                </c:pt>
                <c:pt idx="8">
                  <c:v>BOTTLE GOURD</c:v>
                </c:pt>
                <c:pt idx="9">
                  <c:v>SPONGE GOURD</c:v>
                </c:pt>
                <c:pt idx="10">
                  <c:v>RIDGE GOURD</c:v>
                </c:pt>
                <c:pt idx="11">
                  <c:v>CUCUMBER</c:v>
                </c:pt>
                <c:pt idx="12">
                  <c:v>WATER MELON</c:v>
                </c:pt>
                <c:pt idx="13">
                  <c:v>OKRA</c:v>
                </c:pt>
              </c:strCache>
            </c:strRef>
          </c:cat>
          <c:val>
            <c:numRef>
              <c:f>UP!$E$10:$E$23</c:f>
              <c:numCache>
                <c:formatCode>###,###,###</c:formatCode>
                <c:ptCount val="14"/>
                <c:pt idx="0">
                  <c:v>177.25769530000002</c:v>
                </c:pt>
                <c:pt idx="1">
                  <c:v>102.32290089999999</c:v>
                </c:pt>
                <c:pt idx="2">
                  <c:v>24.377773900000001</c:v>
                </c:pt>
                <c:pt idx="3">
                  <c:v>8.5358699999999992</c:v>
                </c:pt>
                <c:pt idx="4">
                  <c:v>5.65794</c:v>
                </c:pt>
                <c:pt idx="5">
                  <c:v>4.5668198000000002</c:v>
                </c:pt>
                <c:pt idx="6">
                  <c:v>3.9778199999999999</c:v>
                </c:pt>
                <c:pt idx="7">
                  <c:v>1.9545699999999999</c:v>
                </c:pt>
                <c:pt idx="8">
                  <c:v>1.6781753999999998</c:v>
                </c:pt>
                <c:pt idx="9">
                  <c:v>0</c:v>
                </c:pt>
                <c:pt idx="10">
                  <c:v>-3.2399999999999998E-2</c:v>
                </c:pt>
                <c:pt idx="11">
                  <c:v>-0.78530450000000007</c:v>
                </c:pt>
                <c:pt idx="12">
                  <c:v>-5.8221625000000001</c:v>
                </c:pt>
                <c:pt idx="13">
                  <c:v>-13.673786400000001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2-474B-9DEF-2113CAE85D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08736"/>
        <c:axId val="552336096"/>
      </c:barChart>
      <c:catAx>
        <c:axId val="55230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36096"/>
        <c:crosses val="autoZero"/>
        <c:auto val="1"/>
        <c:lblAlgn val="ctr"/>
        <c:lblOffset val="100"/>
        <c:noMultiLvlLbl val="0"/>
      </c:catAx>
      <c:valAx>
        <c:axId val="552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CLUSTER BEANS</c:v>
                </c:pt>
                <c:pt idx="5">
                  <c:v>BEANS</c:v>
                </c:pt>
                <c:pt idx="6">
                  <c:v>OKRA</c:v>
                </c:pt>
              </c:strCache>
            </c:strRef>
          </c:cat>
          <c:val>
            <c:numRef>
              <c:f>UP!$B$28:$B$34</c:f>
              <c:numCache>
                <c:formatCode>###,###,###</c:formatCode>
                <c:ptCount val="7"/>
                <c:pt idx="0">
                  <c:v>18.561614800000001</c:v>
                </c:pt>
                <c:pt idx="1">
                  <c:v>4.3208728000000001</c:v>
                </c:pt>
                <c:pt idx="2">
                  <c:v>3.3129015000000002</c:v>
                </c:pt>
                <c:pt idx="3">
                  <c:v>1.6886699999999999</c:v>
                </c:pt>
                <c:pt idx="4">
                  <c:v>5.5800000000000002E-2</c:v>
                </c:pt>
                <c:pt idx="5">
                  <c:v>0</c:v>
                </c:pt>
                <c:pt idx="6">
                  <c:v>7.7031599999999996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A-4139-9D42-18F3F5F228E0}"/>
            </c:ext>
          </c:extLst>
        </c:ser>
        <c:ser>
          <c:idx val="1"/>
          <c:order val="1"/>
          <c:tx>
            <c:strRef>
              <c:f>UP!$C$27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CLUSTER BEANS</c:v>
                </c:pt>
                <c:pt idx="5">
                  <c:v>BEANS</c:v>
                </c:pt>
                <c:pt idx="6">
                  <c:v>OKRA</c:v>
                </c:pt>
              </c:strCache>
            </c:strRef>
          </c:cat>
          <c:val>
            <c:numRef>
              <c:f>UP!$C$28:$C$34</c:f>
              <c:numCache>
                <c:formatCode>###,###,###</c:formatCode>
                <c:ptCount val="7"/>
                <c:pt idx="0">
                  <c:v>27.027439600000001</c:v>
                </c:pt>
                <c:pt idx="1">
                  <c:v>6.9030717000000008</c:v>
                </c:pt>
                <c:pt idx="2">
                  <c:v>3.8222486999999998</c:v>
                </c:pt>
                <c:pt idx="3">
                  <c:v>0.86175000000000002</c:v>
                </c:pt>
                <c:pt idx="4">
                  <c:v>0</c:v>
                </c:pt>
                <c:pt idx="5">
                  <c:v>8.3159999999999998E-2</c:v>
                </c:pt>
                <c:pt idx="6">
                  <c:v>6.2504999999999997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A-4139-9D42-18F3F5F228E0}"/>
            </c:ext>
          </c:extLst>
        </c:ser>
        <c:ser>
          <c:idx val="2"/>
          <c:order val="2"/>
          <c:tx>
            <c:strRef>
              <c:f>UP!$E$27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UP!$A$28:$A$34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COWPEA</c:v>
                </c:pt>
                <c:pt idx="4">
                  <c:v>CLUSTER BEANS</c:v>
                </c:pt>
                <c:pt idx="5">
                  <c:v>BEANS</c:v>
                </c:pt>
                <c:pt idx="6">
                  <c:v>OKRA</c:v>
                </c:pt>
              </c:strCache>
            </c:strRef>
          </c:cat>
          <c:val>
            <c:numRef>
              <c:f>UP!$E$28:$E$34</c:f>
              <c:numCache>
                <c:formatCode>###,###,###</c:formatCode>
                <c:ptCount val="7"/>
                <c:pt idx="0">
                  <c:v>13.8393418</c:v>
                </c:pt>
                <c:pt idx="1">
                  <c:v>3.1656599999999999</c:v>
                </c:pt>
                <c:pt idx="2">
                  <c:v>2.0935809999999999</c:v>
                </c:pt>
                <c:pt idx="3">
                  <c:v>0.23617869999999999</c:v>
                </c:pt>
                <c:pt idx="4">
                  <c:v>0.1116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A-4139-9D42-18F3F5F228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42016"/>
        <c:axId val="552238176"/>
      </c:barChart>
      <c:catAx>
        <c:axId val="5522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38176"/>
        <c:crosses val="autoZero"/>
        <c:auto val="1"/>
        <c:lblAlgn val="ctr"/>
        <c:lblOffset val="100"/>
        <c:noMultiLvlLbl val="0"/>
      </c:catAx>
      <c:valAx>
        <c:axId val="5522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UP!$A$39:$A$43</c:f>
              <c:strCache>
                <c:ptCount val="5"/>
                <c:pt idx="0">
                  <c:v>BAJRA</c:v>
                </c:pt>
                <c:pt idx="1">
                  <c:v>PADDY</c:v>
                </c:pt>
                <c:pt idx="2">
                  <c:v>MUSTARD</c:v>
                </c:pt>
                <c:pt idx="3">
                  <c:v>COTTON</c:v>
                </c:pt>
                <c:pt idx="4">
                  <c:v>MAIZE</c:v>
                </c:pt>
              </c:strCache>
            </c:strRef>
          </c:cat>
          <c:val>
            <c:numRef>
              <c:f>UP!$B$39:$B$43</c:f>
              <c:numCache>
                <c:formatCode>###,###,###</c:formatCode>
                <c:ptCount val="5"/>
                <c:pt idx="0">
                  <c:v>29.32254</c:v>
                </c:pt>
                <c:pt idx="1">
                  <c:v>11.076000000000002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5-4A2C-A534-53CE540A9F2C}"/>
            </c:ext>
          </c:extLst>
        </c:ser>
        <c:ser>
          <c:idx val="1"/>
          <c:order val="1"/>
          <c:tx>
            <c:strRef>
              <c:f>UP!$C$38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UP!$A$39:$A$43</c:f>
              <c:strCache>
                <c:ptCount val="5"/>
                <c:pt idx="0">
                  <c:v>BAJRA</c:v>
                </c:pt>
                <c:pt idx="1">
                  <c:v>PADDY</c:v>
                </c:pt>
                <c:pt idx="2">
                  <c:v>MUSTARD</c:v>
                </c:pt>
                <c:pt idx="3">
                  <c:v>COTTON</c:v>
                </c:pt>
                <c:pt idx="4">
                  <c:v>MAIZE</c:v>
                </c:pt>
              </c:strCache>
            </c:strRef>
          </c:cat>
          <c:val>
            <c:numRef>
              <c:f>UP!$C$39:$C$43</c:f>
              <c:numCache>
                <c:formatCode>###,###,###</c:formatCode>
                <c:ptCount val="5"/>
                <c:pt idx="0">
                  <c:v>27.948070000000001</c:v>
                </c:pt>
                <c:pt idx="1">
                  <c:v>13.5563751</c:v>
                </c:pt>
                <c:pt idx="2">
                  <c:v>0</c:v>
                </c:pt>
                <c:pt idx="3">
                  <c:v>3.1103999999999998</c:v>
                </c:pt>
                <c:pt idx="4">
                  <c:v>2.3088848999999998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5-4A2C-A534-53CE540A9F2C}"/>
            </c:ext>
          </c:extLst>
        </c:ser>
        <c:ser>
          <c:idx val="2"/>
          <c:order val="2"/>
          <c:tx>
            <c:strRef>
              <c:f>UP!$E$38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UP!$A$39:$A$43</c:f>
              <c:strCache>
                <c:ptCount val="5"/>
                <c:pt idx="0">
                  <c:v>BAJRA</c:v>
                </c:pt>
                <c:pt idx="1">
                  <c:v>PADDY</c:v>
                </c:pt>
                <c:pt idx="2">
                  <c:v>MUSTARD</c:v>
                </c:pt>
                <c:pt idx="3">
                  <c:v>COTTON</c:v>
                </c:pt>
                <c:pt idx="4">
                  <c:v>MAIZE</c:v>
                </c:pt>
              </c:strCache>
            </c:strRef>
          </c:cat>
          <c:val>
            <c:numRef>
              <c:f>UP!$E$39:$E$43</c:f>
              <c:numCache>
                <c:formatCode>###,###,###</c:formatCode>
                <c:ptCount val="5"/>
                <c:pt idx="0">
                  <c:v>30.607055999999996</c:v>
                </c:pt>
                <c:pt idx="1">
                  <c:v>22.108002199999998</c:v>
                </c:pt>
                <c:pt idx="2">
                  <c:v>15.197658400000002</c:v>
                </c:pt>
                <c:pt idx="3">
                  <c:v>0.77759999999999996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5-4A2C-A534-53CE540A9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25216"/>
        <c:axId val="552217536"/>
      </c:barChart>
      <c:catAx>
        <c:axId val="5522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17536"/>
        <c:crosses val="autoZero"/>
        <c:auto val="1"/>
        <c:lblAlgn val="ctr"/>
        <c:lblOffset val="100"/>
        <c:noMultiLvlLbl val="0"/>
      </c:catAx>
      <c:valAx>
        <c:axId val="5522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2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UP!$B$47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UP!$A$48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UP!$B$48</c:f>
              <c:numCache>
                <c:formatCode>###,###,###</c:formatCode>
                <c:ptCount val="1"/>
                <c:pt idx="0">
                  <c:v>32.83211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4-40B4-B2E5-BACE4443409B}"/>
            </c:ext>
          </c:extLst>
        </c:ser>
        <c:ser>
          <c:idx val="1"/>
          <c:order val="1"/>
          <c:tx>
            <c:strRef>
              <c:f>UP!$C$47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UP!$A$48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UP!$C$48</c:f>
              <c:numCache>
                <c:formatCode>###,###,###</c:formatCode>
                <c:ptCount val="1"/>
                <c:pt idx="0">
                  <c:v>41.439430000000002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4-40B4-B2E5-BACE4443409B}"/>
            </c:ext>
          </c:extLst>
        </c:ser>
        <c:ser>
          <c:idx val="2"/>
          <c:order val="2"/>
          <c:tx>
            <c:strRef>
              <c:f>UP!$E$47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UP!$A$48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UP!$E$48</c:f>
              <c:numCache>
                <c:formatCode>###,###,###</c:formatCode>
                <c:ptCount val="1"/>
                <c:pt idx="0">
                  <c:v>45.18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74-40B4-B2E5-BACE444340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24096"/>
        <c:axId val="552318336"/>
      </c:barChart>
      <c:catAx>
        <c:axId val="55232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18336"/>
        <c:crosses val="autoZero"/>
        <c:auto val="1"/>
        <c:lblAlgn val="ctr"/>
        <c:lblOffset val="100"/>
        <c:noMultiLvlLbl val="0"/>
      </c:catAx>
      <c:valAx>
        <c:axId val="55231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jharkhand!$B$1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jharkhand!$A$2:$A$4</c:f>
              <c:strCache>
                <c:ptCount val="3"/>
                <c:pt idx="0">
                  <c:v>FIELD CROP</c:v>
                </c:pt>
                <c:pt idx="1">
                  <c:v>VEG - OP</c:v>
                </c:pt>
                <c:pt idx="2">
                  <c:v>VEG - HYBRID</c:v>
                </c:pt>
              </c:strCache>
            </c:strRef>
          </c:cat>
          <c:val>
            <c:numRef>
              <c:f>jharkhand!$B$2:$B$4</c:f>
              <c:numCache>
                <c:formatCode>###,###,###</c:formatCode>
                <c:ptCount val="3"/>
                <c:pt idx="0">
                  <c:v>68.5135006</c:v>
                </c:pt>
                <c:pt idx="1">
                  <c:v>29.335416800000008</c:v>
                </c:pt>
                <c:pt idx="2">
                  <c:v>47.625112600000016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4-40A2-A7E2-27C328E98FBA}"/>
            </c:ext>
          </c:extLst>
        </c:ser>
        <c:ser>
          <c:idx val="1"/>
          <c:order val="1"/>
          <c:tx>
            <c:strRef>
              <c:f>jharkhand!$C$1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jharkhand!$A$2:$A$4</c:f>
              <c:strCache>
                <c:ptCount val="3"/>
                <c:pt idx="0">
                  <c:v>FIELD CROP</c:v>
                </c:pt>
                <c:pt idx="1">
                  <c:v>VEG - OP</c:v>
                </c:pt>
                <c:pt idx="2">
                  <c:v>VEG - HYBRID</c:v>
                </c:pt>
              </c:strCache>
            </c:strRef>
          </c:cat>
          <c:val>
            <c:numRef>
              <c:f>jharkhand!$C$2:$C$4</c:f>
              <c:numCache>
                <c:formatCode>###,###,###</c:formatCode>
                <c:ptCount val="3"/>
                <c:pt idx="0">
                  <c:v>59.535387099999987</c:v>
                </c:pt>
                <c:pt idx="1">
                  <c:v>34.187705600000008</c:v>
                </c:pt>
                <c:pt idx="2">
                  <c:v>49.514147300000069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4-40A2-A7E2-27C328E98FBA}"/>
            </c:ext>
          </c:extLst>
        </c:ser>
        <c:ser>
          <c:idx val="2"/>
          <c:order val="2"/>
          <c:tx>
            <c:strRef>
              <c:f>jharkhand!$E$1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jharkhand!$A$2:$A$4</c:f>
              <c:strCache>
                <c:ptCount val="3"/>
                <c:pt idx="0">
                  <c:v>FIELD CROP</c:v>
                </c:pt>
                <c:pt idx="1">
                  <c:v>VEG - OP</c:v>
                </c:pt>
                <c:pt idx="2">
                  <c:v>VEG - HYBRID</c:v>
                </c:pt>
              </c:strCache>
            </c:strRef>
          </c:cat>
          <c:val>
            <c:numRef>
              <c:f>jharkhand!$E$2:$E$4</c:f>
              <c:numCache>
                <c:formatCode>###,###,###</c:formatCode>
                <c:ptCount val="3"/>
                <c:pt idx="0">
                  <c:v>84.858469200000002</c:v>
                </c:pt>
                <c:pt idx="1">
                  <c:v>17.132356399999999</c:v>
                </c:pt>
                <c:pt idx="2">
                  <c:v>11.308234400000002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4-40A2-A7E2-27C328E98F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16416"/>
        <c:axId val="552322656"/>
      </c:barChart>
      <c:catAx>
        <c:axId val="5523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22656"/>
        <c:crosses val="autoZero"/>
        <c:auto val="1"/>
        <c:lblAlgn val="ctr"/>
        <c:lblOffset val="100"/>
        <c:noMultiLvlLbl val="0"/>
      </c:catAx>
      <c:valAx>
        <c:axId val="55232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jharkhand!$B$8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jharkhand!$A$9:$A$21</c:f>
              <c:strCache>
                <c:ptCount val="13"/>
                <c:pt idx="0">
                  <c:v>COWPEA</c:v>
                </c:pt>
                <c:pt idx="1">
                  <c:v>TOMATO</c:v>
                </c:pt>
                <c:pt idx="2">
                  <c:v>CHILLY</c:v>
                </c:pt>
                <c:pt idx="3">
                  <c:v>CABBAGE</c:v>
                </c:pt>
                <c:pt idx="4">
                  <c:v>BRINJAL</c:v>
                </c:pt>
                <c:pt idx="5">
                  <c:v>BEANS</c:v>
                </c:pt>
                <c:pt idx="6">
                  <c:v>BEETROOT</c:v>
                </c:pt>
                <c:pt idx="7">
                  <c:v>BOTTLE GOURD</c:v>
                </c:pt>
                <c:pt idx="8">
                  <c:v>RIDGE GOURD</c:v>
                </c:pt>
                <c:pt idx="9">
                  <c:v>BITTER GOURD</c:v>
                </c:pt>
                <c:pt idx="10">
                  <c:v>WATER MELON</c:v>
                </c:pt>
                <c:pt idx="11">
                  <c:v>CUCUMBER</c:v>
                </c:pt>
                <c:pt idx="12">
                  <c:v>OKRA</c:v>
                </c:pt>
              </c:strCache>
            </c:strRef>
          </c:cat>
          <c:val>
            <c:numRef>
              <c:f>jharkhand!$B$9:$B$21</c:f>
              <c:numCache>
                <c:formatCode>###,###,###</c:formatCode>
                <c:ptCount val="13"/>
                <c:pt idx="0">
                  <c:v>10.675160899999998</c:v>
                </c:pt>
                <c:pt idx="1">
                  <c:v>7.6353435999999997</c:v>
                </c:pt>
                <c:pt idx="2">
                  <c:v>1.9845493000000003</c:v>
                </c:pt>
                <c:pt idx="3">
                  <c:v>0.39082789999999995</c:v>
                </c:pt>
                <c:pt idx="4">
                  <c:v>0.78661380000000003</c:v>
                </c:pt>
                <c:pt idx="5">
                  <c:v>1.4696539</c:v>
                </c:pt>
                <c:pt idx="6">
                  <c:v>0</c:v>
                </c:pt>
                <c:pt idx="7">
                  <c:v>0.99882720000000014</c:v>
                </c:pt>
                <c:pt idx="8">
                  <c:v>0.71375359999999988</c:v>
                </c:pt>
                <c:pt idx="9">
                  <c:v>6.1714423000000007</c:v>
                </c:pt>
                <c:pt idx="10">
                  <c:v>3.6325352000000004</c:v>
                </c:pt>
                <c:pt idx="11">
                  <c:v>2.0977199999999989</c:v>
                </c:pt>
                <c:pt idx="12">
                  <c:v>11.068684899999997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4-49FF-B238-0B7BBF78AC53}"/>
            </c:ext>
          </c:extLst>
        </c:ser>
        <c:ser>
          <c:idx val="1"/>
          <c:order val="1"/>
          <c:tx>
            <c:strRef>
              <c:f>jharkhand!$C$8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jharkhand!$A$9:$A$21</c:f>
              <c:strCache>
                <c:ptCount val="13"/>
                <c:pt idx="0">
                  <c:v>COWPEA</c:v>
                </c:pt>
                <c:pt idx="1">
                  <c:v>TOMATO</c:v>
                </c:pt>
                <c:pt idx="2">
                  <c:v>CHILLY</c:v>
                </c:pt>
                <c:pt idx="3">
                  <c:v>CABBAGE</c:v>
                </c:pt>
                <c:pt idx="4">
                  <c:v>BRINJAL</c:v>
                </c:pt>
                <c:pt idx="5">
                  <c:v>BEANS</c:v>
                </c:pt>
                <c:pt idx="6">
                  <c:v>BEETROOT</c:v>
                </c:pt>
                <c:pt idx="7">
                  <c:v>BOTTLE GOURD</c:v>
                </c:pt>
                <c:pt idx="8">
                  <c:v>RIDGE GOURD</c:v>
                </c:pt>
                <c:pt idx="9">
                  <c:v>BITTER GOURD</c:v>
                </c:pt>
                <c:pt idx="10">
                  <c:v>WATER MELON</c:v>
                </c:pt>
                <c:pt idx="11">
                  <c:v>CUCUMBER</c:v>
                </c:pt>
                <c:pt idx="12">
                  <c:v>OKRA</c:v>
                </c:pt>
              </c:strCache>
            </c:strRef>
          </c:cat>
          <c:val>
            <c:numRef>
              <c:f>jharkhand!$C$9:$C$21</c:f>
              <c:numCache>
                <c:formatCode>###,###,###</c:formatCode>
                <c:ptCount val="13"/>
                <c:pt idx="0">
                  <c:v>21.568794699999998</c:v>
                </c:pt>
                <c:pt idx="1">
                  <c:v>4.368571199999999</c:v>
                </c:pt>
                <c:pt idx="2">
                  <c:v>2.6471769999999988</c:v>
                </c:pt>
                <c:pt idx="3">
                  <c:v>0.61655170000000015</c:v>
                </c:pt>
                <c:pt idx="4">
                  <c:v>0.61379039999999996</c:v>
                </c:pt>
                <c:pt idx="5">
                  <c:v>0.65003119999999992</c:v>
                </c:pt>
                <c:pt idx="6">
                  <c:v>0</c:v>
                </c:pt>
                <c:pt idx="7">
                  <c:v>1.0573732</c:v>
                </c:pt>
                <c:pt idx="8">
                  <c:v>1.4919373</c:v>
                </c:pt>
                <c:pt idx="9">
                  <c:v>3.1267532000000005</c:v>
                </c:pt>
                <c:pt idx="10">
                  <c:v>1.0019843999999998</c:v>
                </c:pt>
                <c:pt idx="11">
                  <c:v>3.7151505000000005</c:v>
                </c:pt>
                <c:pt idx="12">
                  <c:v>8.6560324999999985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4-49FF-B238-0B7BBF78AC53}"/>
            </c:ext>
          </c:extLst>
        </c:ser>
        <c:ser>
          <c:idx val="2"/>
          <c:order val="2"/>
          <c:tx>
            <c:strRef>
              <c:f>jharkhand!$E$8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jharkhand!$A$9:$A$21</c:f>
              <c:strCache>
                <c:ptCount val="13"/>
                <c:pt idx="0">
                  <c:v>COWPEA</c:v>
                </c:pt>
                <c:pt idx="1">
                  <c:v>TOMATO</c:v>
                </c:pt>
                <c:pt idx="2">
                  <c:v>CHILLY</c:v>
                </c:pt>
                <c:pt idx="3">
                  <c:v>CABBAGE</c:v>
                </c:pt>
                <c:pt idx="4">
                  <c:v>BRINJAL</c:v>
                </c:pt>
                <c:pt idx="5">
                  <c:v>BEANS</c:v>
                </c:pt>
                <c:pt idx="6">
                  <c:v>BEETROOT</c:v>
                </c:pt>
                <c:pt idx="7">
                  <c:v>BOTTLE GOURD</c:v>
                </c:pt>
                <c:pt idx="8">
                  <c:v>RIDGE GOURD</c:v>
                </c:pt>
                <c:pt idx="9">
                  <c:v>BITTER GOURD</c:v>
                </c:pt>
                <c:pt idx="10">
                  <c:v>WATER MELON</c:v>
                </c:pt>
                <c:pt idx="11">
                  <c:v>CUCUMBER</c:v>
                </c:pt>
                <c:pt idx="12">
                  <c:v>OKRA</c:v>
                </c:pt>
              </c:strCache>
            </c:strRef>
          </c:cat>
          <c:val>
            <c:numRef>
              <c:f>jharkhand!$E$9:$E$21</c:f>
              <c:numCache>
                <c:formatCode>###,###,###</c:formatCode>
                <c:ptCount val="13"/>
                <c:pt idx="0">
                  <c:v>12.608386899999999</c:v>
                </c:pt>
                <c:pt idx="1">
                  <c:v>5.3179633000000015</c:v>
                </c:pt>
                <c:pt idx="2">
                  <c:v>1.6334554999999999</c:v>
                </c:pt>
                <c:pt idx="3">
                  <c:v>0.67506929999999998</c:v>
                </c:pt>
                <c:pt idx="4">
                  <c:v>0.48981970000000008</c:v>
                </c:pt>
                <c:pt idx="5">
                  <c:v>0.2261011</c:v>
                </c:pt>
                <c:pt idx="6">
                  <c:v>0.20141000000000001</c:v>
                </c:pt>
                <c:pt idx="7">
                  <c:v>-0.16894780000000004</c:v>
                </c:pt>
                <c:pt idx="8">
                  <c:v>-0.30392060000000004</c:v>
                </c:pt>
                <c:pt idx="9">
                  <c:v>-1.0867435000000001</c:v>
                </c:pt>
                <c:pt idx="10">
                  <c:v>-1.1381035000000002</c:v>
                </c:pt>
                <c:pt idx="11">
                  <c:v>-1.4128086000000002</c:v>
                </c:pt>
                <c:pt idx="12">
                  <c:v>-5.7334474000000002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4-49FF-B238-0B7BBF78AC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65056"/>
        <c:axId val="552261216"/>
      </c:barChart>
      <c:catAx>
        <c:axId val="5522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1216"/>
        <c:crosses val="autoZero"/>
        <c:auto val="1"/>
        <c:lblAlgn val="ctr"/>
        <c:lblOffset val="100"/>
        <c:noMultiLvlLbl val="0"/>
      </c:catAx>
      <c:valAx>
        <c:axId val="5522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jharkhand!$B$25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jharkhand!$A$26:$A$32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BEANS</c:v>
                </c:pt>
                <c:pt idx="3">
                  <c:v>SPINACH ALL GREEN</c:v>
                </c:pt>
                <c:pt idx="4">
                  <c:v>OKRA</c:v>
                </c:pt>
                <c:pt idx="5">
                  <c:v>RADISH</c:v>
                </c:pt>
                <c:pt idx="6">
                  <c:v>CLUSTER BEANS</c:v>
                </c:pt>
              </c:strCache>
            </c:strRef>
          </c:cat>
          <c:val>
            <c:numRef>
              <c:f>jharkhand!$B$26:$B$32</c:f>
              <c:numCache>
                <c:formatCode>###,###,###</c:formatCode>
                <c:ptCount val="7"/>
                <c:pt idx="0">
                  <c:v>15.592507599999999</c:v>
                </c:pt>
                <c:pt idx="1">
                  <c:v>7.1750148000000014</c:v>
                </c:pt>
                <c:pt idx="2">
                  <c:v>1.8191206</c:v>
                </c:pt>
                <c:pt idx="3">
                  <c:v>1.2546006000000001</c:v>
                </c:pt>
                <c:pt idx="4">
                  <c:v>1.239482</c:v>
                </c:pt>
                <c:pt idx="5">
                  <c:v>1.2985305999999999</c:v>
                </c:pt>
                <c:pt idx="6">
                  <c:v>0.95616060000000003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9-4AFA-9309-7A0AB689FB5B}"/>
            </c:ext>
          </c:extLst>
        </c:ser>
        <c:ser>
          <c:idx val="1"/>
          <c:order val="1"/>
          <c:tx>
            <c:strRef>
              <c:f>jharkhand!$C$25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jharkhand!$A$26:$A$32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BEANS</c:v>
                </c:pt>
                <c:pt idx="3">
                  <c:v>SPINACH ALL GREEN</c:v>
                </c:pt>
                <c:pt idx="4">
                  <c:v>OKRA</c:v>
                </c:pt>
                <c:pt idx="5">
                  <c:v>RADISH</c:v>
                </c:pt>
                <c:pt idx="6">
                  <c:v>CLUSTER BEANS</c:v>
                </c:pt>
              </c:strCache>
            </c:strRef>
          </c:cat>
          <c:val>
            <c:numRef>
              <c:f>jharkhand!$C$26:$C$32</c:f>
              <c:numCache>
                <c:formatCode>###,###,###</c:formatCode>
                <c:ptCount val="7"/>
                <c:pt idx="0">
                  <c:v>24.782407800000001</c:v>
                </c:pt>
                <c:pt idx="1">
                  <c:v>4.6883175999999995</c:v>
                </c:pt>
                <c:pt idx="2">
                  <c:v>1.6758</c:v>
                </c:pt>
                <c:pt idx="3">
                  <c:v>1.7442002000000001</c:v>
                </c:pt>
                <c:pt idx="4">
                  <c:v>0.89863999999999999</c:v>
                </c:pt>
                <c:pt idx="5">
                  <c:v>9.8820000000000005E-2</c:v>
                </c:pt>
                <c:pt idx="6">
                  <c:v>0.29952000000000001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19-4AFA-9309-7A0AB689FB5B}"/>
            </c:ext>
          </c:extLst>
        </c:ser>
        <c:ser>
          <c:idx val="2"/>
          <c:order val="2"/>
          <c:tx>
            <c:strRef>
              <c:f>jharkhand!$E$25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jharkhand!$A$26:$A$32</c:f>
              <c:strCache>
                <c:ptCount val="7"/>
                <c:pt idx="0">
                  <c:v>CORIANDER</c:v>
                </c:pt>
                <c:pt idx="1">
                  <c:v>COWPEA</c:v>
                </c:pt>
                <c:pt idx="2">
                  <c:v>BEANS</c:v>
                </c:pt>
                <c:pt idx="3">
                  <c:v>SPINACH ALL GREEN</c:v>
                </c:pt>
                <c:pt idx="4">
                  <c:v>OKRA</c:v>
                </c:pt>
                <c:pt idx="5">
                  <c:v>RADISH</c:v>
                </c:pt>
                <c:pt idx="6">
                  <c:v>CLUSTER BEANS</c:v>
                </c:pt>
              </c:strCache>
            </c:strRef>
          </c:cat>
          <c:val>
            <c:numRef>
              <c:f>jharkhand!$E$26:$E$32</c:f>
              <c:numCache>
                <c:formatCode>###,###,###</c:formatCode>
                <c:ptCount val="7"/>
                <c:pt idx="0">
                  <c:v>11.097000299999999</c:v>
                </c:pt>
                <c:pt idx="1">
                  <c:v>3.8364761000000001</c:v>
                </c:pt>
                <c:pt idx="2">
                  <c:v>0.91800000000000004</c:v>
                </c:pt>
                <c:pt idx="3">
                  <c:v>0.81</c:v>
                </c:pt>
                <c:pt idx="4">
                  <c:v>0.33911999999999998</c:v>
                </c:pt>
                <c:pt idx="5">
                  <c:v>0.13175999999999999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9-4AFA-9309-7A0AB689FB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57856"/>
        <c:axId val="552255936"/>
      </c:barChart>
      <c:catAx>
        <c:axId val="5522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5936"/>
        <c:crosses val="autoZero"/>
        <c:auto val="1"/>
        <c:lblAlgn val="ctr"/>
        <c:lblOffset val="100"/>
        <c:noMultiLvlLbl val="0"/>
      </c:catAx>
      <c:valAx>
        <c:axId val="55225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jharkhand!$B$36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jharkhand!$A$37:$A$38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jharkhand!$B$37:$B$38</c:f>
              <c:numCache>
                <c:formatCode>###,###,###</c:formatCode>
                <c:ptCount val="2"/>
                <c:pt idx="0">
                  <c:v>65.638420599999989</c:v>
                </c:pt>
                <c:pt idx="1">
                  <c:v>2.8750800000000001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D-4204-ABBF-245CB14EC426}"/>
            </c:ext>
          </c:extLst>
        </c:ser>
        <c:ser>
          <c:idx val="1"/>
          <c:order val="1"/>
          <c:tx>
            <c:strRef>
              <c:f>jharkhand!$C$36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jharkhand!$A$37:$A$38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jharkhand!$C$37:$C$38</c:f>
              <c:numCache>
                <c:formatCode>###,###,###</c:formatCode>
                <c:ptCount val="2"/>
                <c:pt idx="0">
                  <c:v>58.369548299999998</c:v>
                </c:pt>
                <c:pt idx="1">
                  <c:v>1.1658388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D-4204-ABBF-245CB14EC426}"/>
            </c:ext>
          </c:extLst>
        </c:ser>
        <c:ser>
          <c:idx val="2"/>
          <c:order val="2"/>
          <c:tx>
            <c:strRef>
              <c:f>jharkhand!$E$36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jharkhand!$A$37:$A$38</c:f>
              <c:strCache>
                <c:ptCount val="2"/>
                <c:pt idx="0">
                  <c:v>PADDY</c:v>
                </c:pt>
                <c:pt idx="1">
                  <c:v>MAIZE</c:v>
                </c:pt>
              </c:strCache>
            </c:strRef>
          </c:cat>
          <c:val>
            <c:numRef>
              <c:f>jharkhand!$E$37:$E$38</c:f>
              <c:numCache>
                <c:formatCode>###,###,###</c:formatCode>
                <c:ptCount val="2"/>
                <c:pt idx="0">
                  <c:v>84.572713299999975</c:v>
                </c:pt>
                <c:pt idx="1">
                  <c:v>0.28575590000000006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1D-4204-ABBF-245CB14EC4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74656"/>
        <c:axId val="552245856"/>
      </c:barChart>
      <c:catAx>
        <c:axId val="5522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5856"/>
        <c:crosses val="autoZero"/>
        <c:auto val="1"/>
        <c:lblAlgn val="ctr"/>
        <c:lblOffset val="100"/>
        <c:noMultiLvlLbl val="0"/>
      </c:catAx>
      <c:valAx>
        <c:axId val="5522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7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bihar!$B$1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bihar!$B$2:$B$5</c:f>
              <c:numCache>
                <c:formatCode>###,###,###</c:formatCode>
                <c:ptCount val="4"/>
                <c:pt idx="0">
                  <c:v>9.0390974000000011</c:v>
                </c:pt>
                <c:pt idx="1">
                  <c:v>16.631937900000004</c:v>
                </c:pt>
                <c:pt idx="2">
                  <c:v>5.3534992999999993</c:v>
                </c:pt>
                <c:pt idx="3">
                  <c:v>31.7005154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4431-8438-813244B7E192}"/>
            </c:ext>
          </c:extLst>
        </c:ser>
        <c:ser>
          <c:idx val="1"/>
          <c:order val="1"/>
          <c:tx>
            <c:strRef>
              <c:f>bihar!$C$1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bihar!$C$2:$C$5</c:f>
              <c:numCache>
                <c:formatCode>###,###,###</c:formatCode>
                <c:ptCount val="4"/>
                <c:pt idx="0">
                  <c:v>19.562580000000001</c:v>
                </c:pt>
                <c:pt idx="1">
                  <c:v>27.211887599999997</c:v>
                </c:pt>
                <c:pt idx="2">
                  <c:v>6.9874999999999998</c:v>
                </c:pt>
                <c:pt idx="3">
                  <c:v>46.375612400000001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7-4431-8438-813244B7E192}"/>
            </c:ext>
          </c:extLst>
        </c:ser>
        <c:ser>
          <c:idx val="2"/>
          <c:order val="2"/>
          <c:tx>
            <c:strRef>
              <c:f>bihar!$E$1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bihar!$A$2:$A$5</c:f>
              <c:strCache>
                <c:ptCount val="4"/>
                <c:pt idx="0">
                  <c:v>FIELD CROP</c:v>
                </c:pt>
                <c:pt idx="1">
                  <c:v>VEG - OP</c:v>
                </c:pt>
                <c:pt idx="2">
                  <c:v>FIELD CROP - OP</c:v>
                </c:pt>
                <c:pt idx="3">
                  <c:v>VEG - HYBRID</c:v>
                </c:pt>
              </c:strCache>
            </c:strRef>
          </c:cat>
          <c:val>
            <c:numRef>
              <c:f>bihar!$E$2:$E$5</c:f>
              <c:numCache>
                <c:formatCode>###,###,###</c:formatCode>
                <c:ptCount val="4"/>
                <c:pt idx="0">
                  <c:v>25.7908075</c:v>
                </c:pt>
                <c:pt idx="1">
                  <c:v>17.532970000000002</c:v>
                </c:pt>
                <c:pt idx="2">
                  <c:v>11.221260300000003</c:v>
                </c:pt>
                <c:pt idx="3">
                  <c:v>2.5708522000000031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7-4431-8438-813244B7E1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28576"/>
        <c:axId val="552215136"/>
      </c:barChart>
      <c:catAx>
        <c:axId val="55222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15136"/>
        <c:crosses val="autoZero"/>
        <c:auto val="1"/>
        <c:lblAlgn val="ctr"/>
        <c:lblOffset val="100"/>
        <c:noMultiLvlLbl val="0"/>
      </c:catAx>
      <c:valAx>
        <c:axId val="5522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bihar!$B$9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bihar!$A$10:$A$23</c:f>
              <c:strCache>
                <c:ptCount val="14"/>
                <c:pt idx="0">
                  <c:v>COWPEA</c:v>
                </c:pt>
                <c:pt idx="1">
                  <c:v>CABBAGE</c:v>
                </c:pt>
                <c:pt idx="2">
                  <c:v>TOMATO</c:v>
                </c:pt>
                <c:pt idx="3">
                  <c:v>BEETROOT</c:v>
                </c:pt>
                <c:pt idx="4">
                  <c:v>BRINJAL</c:v>
                </c:pt>
                <c:pt idx="5">
                  <c:v>CHILLY</c:v>
                </c:pt>
                <c:pt idx="6">
                  <c:v>BEANS</c:v>
                </c:pt>
                <c:pt idx="7">
                  <c:v>RIDGE GOURD</c:v>
                </c:pt>
                <c:pt idx="8">
                  <c:v>SPONGE GOURD</c:v>
                </c:pt>
                <c:pt idx="9">
                  <c:v>BOTTLE GOURD</c:v>
                </c:pt>
                <c:pt idx="10">
                  <c:v>WATER MELON</c:v>
                </c:pt>
                <c:pt idx="11">
                  <c:v>BITTER GOURD</c:v>
                </c:pt>
                <c:pt idx="12">
                  <c:v>CUCUMBER</c:v>
                </c:pt>
                <c:pt idx="13">
                  <c:v>OKRA</c:v>
                </c:pt>
              </c:strCache>
            </c:strRef>
          </c:cat>
          <c:val>
            <c:numRef>
              <c:f>bihar!$B$10:$B$23</c:f>
              <c:numCache>
                <c:formatCode>###,###,###</c:formatCode>
                <c:ptCount val="14"/>
                <c:pt idx="0">
                  <c:v>6.4685584000000009</c:v>
                </c:pt>
                <c:pt idx="1">
                  <c:v>0.4451717</c:v>
                </c:pt>
                <c:pt idx="2">
                  <c:v>0.46169539999999987</c:v>
                </c:pt>
                <c:pt idx="3">
                  <c:v>0</c:v>
                </c:pt>
                <c:pt idx="4">
                  <c:v>0.65933849999999994</c:v>
                </c:pt>
                <c:pt idx="5">
                  <c:v>8.3603111000000006</c:v>
                </c:pt>
                <c:pt idx="6">
                  <c:v>2.2610000000000002E-2</c:v>
                </c:pt>
                <c:pt idx="7">
                  <c:v>0.16727760000000003</c:v>
                </c:pt>
                <c:pt idx="8">
                  <c:v>-3.7021999999999979E-3</c:v>
                </c:pt>
                <c:pt idx="9">
                  <c:v>1.0095723999999997</c:v>
                </c:pt>
                <c:pt idx="10">
                  <c:v>1.0011604000000003</c:v>
                </c:pt>
                <c:pt idx="11">
                  <c:v>1.4286170999999999</c:v>
                </c:pt>
                <c:pt idx="12">
                  <c:v>0.54935219999999996</c:v>
                </c:pt>
                <c:pt idx="13">
                  <c:v>11.130552800000002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D-45C8-8EF9-DB5B996A348D}"/>
            </c:ext>
          </c:extLst>
        </c:ser>
        <c:ser>
          <c:idx val="1"/>
          <c:order val="1"/>
          <c:tx>
            <c:strRef>
              <c:f>bihar!$C$9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bihar!$A$10:$A$23</c:f>
              <c:strCache>
                <c:ptCount val="14"/>
                <c:pt idx="0">
                  <c:v>COWPEA</c:v>
                </c:pt>
                <c:pt idx="1">
                  <c:v>CABBAGE</c:v>
                </c:pt>
                <c:pt idx="2">
                  <c:v>TOMATO</c:v>
                </c:pt>
                <c:pt idx="3">
                  <c:v>BEETROOT</c:v>
                </c:pt>
                <c:pt idx="4">
                  <c:v>BRINJAL</c:v>
                </c:pt>
                <c:pt idx="5">
                  <c:v>CHILLY</c:v>
                </c:pt>
                <c:pt idx="6">
                  <c:v>BEANS</c:v>
                </c:pt>
                <c:pt idx="7">
                  <c:v>RIDGE GOURD</c:v>
                </c:pt>
                <c:pt idx="8">
                  <c:v>SPONGE GOURD</c:v>
                </c:pt>
                <c:pt idx="9">
                  <c:v>BOTTLE GOURD</c:v>
                </c:pt>
                <c:pt idx="10">
                  <c:v>WATER MELON</c:v>
                </c:pt>
                <c:pt idx="11">
                  <c:v>BITTER GOURD</c:v>
                </c:pt>
                <c:pt idx="12">
                  <c:v>CUCUMBER</c:v>
                </c:pt>
                <c:pt idx="13">
                  <c:v>OKRA</c:v>
                </c:pt>
              </c:strCache>
            </c:strRef>
          </c:cat>
          <c:val>
            <c:numRef>
              <c:f>bihar!$C$10:$C$23</c:f>
              <c:numCache>
                <c:formatCode>###,###,###</c:formatCode>
                <c:ptCount val="14"/>
                <c:pt idx="0">
                  <c:v>14.3343165</c:v>
                </c:pt>
                <c:pt idx="1">
                  <c:v>1.0999964000000002</c:v>
                </c:pt>
                <c:pt idx="2">
                  <c:v>0.6047629000000001</c:v>
                </c:pt>
                <c:pt idx="3">
                  <c:v>0</c:v>
                </c:pt>
                <c:pt idx="4">
                  <c:v>0.61845419999999995</c:v>
                </c:pt>
                <c:pt idx="5">
                  <c:v>6.6184759999999985</c:v>
                </c:pt>
                <c:pt idx="6">
                  <c:v>6.08E-2</c:v>
                </c:pt>
                <c:pt idx="7">
                  <c:v>0.17552229999999999</c:v>
                </c:pt>
                <c:pt idx="8">
                  <c:v>1.7868412</c:v>
                </c:pt>
                <c:pt idx="9">
                  <c:v>1.2461571</c:v>
                </c:pt>
                <c:pt idx="10">
                  <c:v>-0.36772650000000001</c:v>
                </c:pt>
                <c:pt idx="11">
                  <c:v>4.4184162000000002</c:v>
                </c:pt>
                <c:pt idx="12">
                  <c:v>2.6440091000000003</c:v>
                </c:pt>
                <c:pt idx="13">
                  <c:v>13.135586999999997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DD-45C8-8EF9-DB5B996A348D}"/>
            </c:ext>
          </c:extLst>
        </c:ser>
        <c:ser>
          <c:idx val="2"/>
          <c:order val="2"/>
          <c:tx>
            <c:strRef>
              <c:f>bihar!$E$9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bihar!$A$10:$A$23</c:f>
              <c:strCache>
                <c:ptCount val="14"/>
                <c:pt idx="0">
                  <c:v>COWPEA</c:v>
                </c:pt>
                <c:pt idx="1">
                  <c:v>CABBAGE</c:v>
                </c:pt>
                <c:pt idx="2">
                  <c:v>TOMATO</c:v>
                </c:pt>
                <c:pt idx="3">
                  <c:v>BEETROOT</c:v>
                </c:pt>
                <c:pt idx="4">
                  <c:v>BRINJAL</c:v>
                </c:pt>
                <c:pt idx="5">
                  <c:v>CHILLY</c:v>
                </c:pt>
                <c:pt idx="6">
                  <c:v>BEANS</c:v>
                </c:pt>
                <c:pt idx="7">
                  <c:v>RIDGE GOURD</c:v>
                </c:pt>
                <c:pt idx="8">
                  <c:v>SPONGE GOURD</c:v>
                </c:pt>
                <c:pt idx="9">
                  <c:v>BOTTLE GOURD</c:v>
                </c:pt>
                <c:pt idx="10">
                  <c:v>WATER MELON</c:v>
                </c:pt>
                <c:pt idx="11">
                  <c:v>BITTER GOURD</c:v>
                </c:pt>
                <c:pt idx="12">
                  <c:v>CUCUMBER</c:v>
                </c:pt>
                <c:pt idx="13">
                  <c:v>OKRA</c:v>
                </c:pt>
              </c:strCache>
            </c:strRef>
          </c:cat>
          <c:val>
            <c:numRef>
              <c:f>bihar!$E$10:$E$23</c:f>
              <c:numCache>
                <c:formatCode>###,###,###</c:formatCode>
                <c:ptCount val="14"/>
                <c:pt idx="0">
                  <c:v>4.3139289999999999</c:v>
                </c:pt>
                <c:pt idx="1">
                  <c:v>2.1297154999999997</c:v>
                </c:pt>
                <c:pt idx="2">
                  <c:v>1.5958147999999999</c:v>
                </c:pt>
                <c:pt idx="3">
                  <c:v>1.5223853000000001</c:v>
                </c:pt>
                <c:pt idx="4">
                  <c:v>0.83975479999999991</c:v>
                </c:pt>
                <c:pt idx="5">
                  <c:v>0.57391450000000022</c:v>
                </c:pt>
                <c:pt idx="6">
                  <c:v>0.32224000000000003</c:v>
                </c:pt>
                <c:pt idx="7">
                  <c:v>-2.4737200000000001E-2</c:v>
                </c:pt>
                <c:pt idx="8">
                  <c:v>-3.3914799999999988E-2</c:v>
                </c:pt>
                <c:pt idx="9">
                  <c:v>-0.2541448</c:v>
                </c:pt>
                <c:pt idx="10">
                  <c:v>-0.26984059999999999</c:v>
                </c:pt>
                <c:pt idx="11">
                  <c:v>-0.49171689999999996</c:v>
                </c:pt>
                <c:pt idx="12">
                  <c:v>-0.88031720000000002</c:v>
                </c:pt>
                <c:pt idx="13">
                  <c:v>-6.7722301999999992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DD-45C8-8EF9-DB5B996A34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35136"/>
        <c:axId val="552335616"/>
      </c:barChart>
      <c:catAx>
        <c:axId val="5523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35616"/>
        <c:crosses val="autoZero"/>
        <c:auto val="1"/>
        <c:lblAlgn val="ctr"/>
        <c:lblOffset val="100"/>
        <c:noMultiLvlLbl val="0"/>
      </c:catAx>
      <c:valAx>
        <c:axId val="5523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bihar!$B$27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bihar!$A$28:$A$34</c:f>
              <c:strCache>
                <c:ptCount val="7"/>
                <c:pt idx="0">
                  <c:v>CORIANDER</c:v>
                </c:pt>
                <c:pt idx="1">
                  <c:v>RADISH</c:v>
                </c:pt>
                <c:pt idx="2">
                  <c:v>SPINACH ALL GREEN</c:v>
                </c:pt>
                <c:pt idx="3">
                  <c:v>COWPEA</c:v>
                </c:pt>
                <c:pt idx="4">
                  <c:v>BEANS</c:v>
                </c:pt>
                <c:pt idx="5">
                  <c:v>OKRA</c:v>
                </c:pt>
                <c:pt idx="6">
                  <c:v>CLUSTER BEANS</c:v>
                </c:pt>
              </c:strCache>
            </c:strRef>
          </c:cat>
          <c:val>
            <c:numRef>
              <c:f>bihar!$B$28:$B$34</c:f>
              <c:numCache>
                <c:formatCode>###,###,###</c:formatCode>
                <c:ptCount val="7"/>
                <c:pt idx="0">
                  <c:v>7.0290076999999993</c:v>
                </c:pt>
                <c:pt idx="1">
                  <c:v>1.1516741000000001</c:v>
                </c:pt>
                <c:pt idx="2">
                  <c:v>1.2618011</c:v>
                </c:pt>
                <c:pt idx="3">
                  <c:v>1.9702526</c:v>
                </c:pt>
                <c:pt idx="4">
                  <c:v>0.92790229999999996</c:v>
                </c:pt>
                <c:pt idx="5">
                  <c:v>3.7370801</c:v>
                </c:pt>
                <c:pt idx="6">
                  <c:v>0.55422000000000005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9-4375-899A-8175EE2CB584}"/>
            </c:ext>
          </c:extLst>
        </c:ser>
        <c:ser>
          <c:idx val="1"/>
          <c:order val="1"/>
          <c:tx>
            <c:strRef>
              <c:f>bihar!$C$27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bihar!$A$28:$A$34</c:f>
              <c:strCache>
                <c:ptCount val="7"/>
                <c:pt idx="0">
                  <c:v>CORIANDER</c:v>
                </c:pt>
                <c:pt idx="1">
                  <c:v>RADISH</c:v>
                </c:pt>
                <c:pt idx="2">
                  <c:v>SPINACH ALL GREEN</c:v>
                </c:pt>
                <c:pt idx="3">
                  <c:v>COWPEA</c:v>
                </c:pt>
                <c:pt idx="4">
                  <c:v>BEANS</c:v>
                </c:pt>
                <c:pt idx="5">
                  <c:v>OKRA</c:v>
                </c:pt>
                <c:pt idx="6">
                  <c:v>CLUSTER BEANS</c:v>
                </c:pt>
              </c:strCache>
            </c:strRef>
          </c:cat>
          <c:val>
            <c:numRef>
              <c:f>bihar!$C$28:$C$34</c:f>
              <c:numCache>
                <c:formatCode>###,###,###</c:formatCode>
                <c:ptCount val="7"/>
                <c:pt idx="0">
                  <c:v>13.9729489</c:v>
                </c:pt>
                <c:pt idx="1">
                  <c:v>1.9221938000000001</c:v>
                </c:pt>
                <c:pt idx="2">
                  <c:v>2.2680023999999999</c:v>
                </c:pt>
                <c:pt idx="3">
                  <c:v>2.8513367000000001</c:v>
                </c:pt>
                <c:pt idx="4">
                  <c:v>1.8311389999999999</c:v>
                </c:pt>
                <c:pt idx="5">
                  <c:v>4.2971468000000002</c:v>
                </c:pt>
                <c:pt idx="6">
                  <c:v>6.9120000000000001E-2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9-4375-899A-8175EE2CB584}"/>
            </c:ext>
          </c:extLst>
        </c:ser>
        <c:ser>
          <c:idx val="2"/>
          <c:order val="2"/>
          <c:tx>
            <c:strRef>
              <c:f>bihar!$E$27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bihar!$A$28:$A$34</c:f>
              <c:strCache>
                <c:ptCount val="7"/>
                <c:pt idx="0">
                  <c:v>CORIANDER</c:v>
                </c:pt>
                <c:pt idx="1">
                  <c:v>RADISH</c:v>
                </c:pt>
                <c:pt idx="2">
                  <c:v>SPINACH ALL GREEN</c:v>
                </c:pt>
                <c:pt idx="3">
                  <c:v>COWPEA</c:v>
                </c:pt>
                <c:pt idx="4">
                  <c:v>BEANS</c:v>
                </c:pt>
                <c:pt idx="5">
                  <c:v>OKRA</c:v>
                </c:pt>
                <c:pt idx="6">
                  <c:v>CLUSTER BEANS</c:v>
                </c:pt>
              </c:strCache>
            </c:strRef>
          </c:cat>
          <c:val>
            <c:numRef>
              <c:f>bihar!$E$28:$E$34</c:f>
              <c:numCache>
                <c:formatCode>###,###,###</c:formatCode>
                <c:ptCount val="7"/>
                <c:pt idx="0">
                  <c:v>11.3616124</c:v>
                </c:pt>
                <c:pt idx="1">
                  <c:v>2.1895647</c:v>
                </c:pt>
                <c:pt idx="2">
                  <c:v>1.6524066999999998</c:v>
                </c:pt>
                <c:pt idx="3">
                  <c:v>1.1154648</c:v>
                </c:pt>
                <c:pt idx="4">
                  <c:v>1.0443613999999999</c:v>
                </c:pt>
                <c:pt idx="5">
                  <c:v>0.16955999999999999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9-4375-899A-8175EE2CB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37536"/>
        <c:axId val="552342336"/>
      </c:barChart>
      <c:catAx>
        <c:axId val="5523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42336"/>
        <c:crosses val="autoZero"/>
        <c:auto val="1"/>
        <c:lblAlgn val="ctr"/>
        <c:lblOffset val="100"/>
        <c:noMultiLvlLbl val="0"/>
      </c:catAx>
      <c:valAx>
        <c:axId val="5523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bihar!$B$38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bihar!$B$39:$B$41</c:f>
              <c:numCache>
                <c:formatCode>###,###,###</c:formatCode>
                <c:ptCount val="3"/>
                <c:pt idx="0">
                  <c:v>5.3143332000000028</c:v>
                </c:pt>
                <c:pt idx="1">
                  <c:v>3.7247641999999996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1-4F76-A645-8601F624BC3F}"/>
            </c:ext>
          </c:extLst>
        </c:ser>
        <c:ser>
          <c:idx val="1"/>
          <c:order val="1"/>
          <c:tx>
            <c:strRef>
              <c:f>bihar!$C$38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bihar!$C$39:$C$41</c:f>
              <c:numCache>
                <c:formatCode>###,###,###</c:formatCode>
                <c:ptCount val="3"/>
                <c:pt idx="0">
                  <c:v>15.340018599999999</c:v>
                </c:pt>
                <c:pt idx="1">
                  <c:v>4.2225614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1-4F76-A645-8601F624BC3F}"/>
            </c:ext>
          </c:extLst>
        </c:ser>
        <c:ser>
          <c:idx val="2"/>
          <c:order val="2"/>
          <c:tx>
            <c:strRef>
              <c:f>bihar!$E$38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bihar!$A$39:$A$41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MUSTARD</c:v>
                </c:pt>
              </c:strCache>
            </c:strRef>
          </c:cat>
          <c:val>
            <c:numRef>
              <c:f>bihar!$E$39:$E$41</c:f>
              <c:numCache>
                <c:formatCode>###,###,###</c:formatCode>
                <c:ptCount val="3"/>
                <c:pt idx="0">
                  <c:v>16.39432</c:v>
                </c:pt>
                <c:pt idx="1">
                  <c:v>6.7031999999999998</c:v>
                </c:pt>
                <c:pt idx="2">
                  <c:v>2.6932874999999998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1-4F76-A645-8601F624BC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64096"/>
        <c:axId val="552266976"/>
      </c:barChart>
      <c:catAx>
        <c:axId val="55226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6976"/>
        <c:crosses val="autoZero"/>
        <c:auto val="1"/>
        <c:lblAlgn val="ctr"/>
        <c:lblOffset val="100"/>
        <c:noMultiLvlLbl val="0"/>
      </c:catAx>
      <c:valAx>
        <c:axId val="5522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bihar!$B$45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bihar!$B$46</c:f>
              <c:numCache>
                <c:formatCode>###,###,###</c:formatCode>
                <c:ptCount val="1"/>
                <c:pt idx="0">
                  <c:v>5.3534992999999993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A-40DE-AA3A-7E661AC4EAD8}"/>
            </c:ext>
          </c:extLst>
        </c:ser>
        <c:ser>
          <c:idx val="1"/>
          <c:order val="1"/>
          <c:tx>
            <c:strRef>
              <c:f>bihar!$C$45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bihar!$C$46</c:f>
              <c:numCache>
                <c:formatCode>###,###,###</c:formatCode>
                <c:ptCount val="1"/>
                <c:pt idx="0">
                  <c:v>6.9874999999999998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A-40DE-AA3A-7E661AC4EAD8}"/>
            </c:ext>
          </c:extLst>
        </c:ser>
        <c:ser>
          <c:idx val="2"/>
          <c:order val="2"/>
          <c:tx>
            <c:strRef>
              <c:f>bihar!$E$45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bihar!$A$46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bihar!$E$46</c:f>
              <c:numCache>
                <c:formatCode>###,###,###</c:formatCode>
                <c:ptCount val="1"/>
                <c:pt idx="0">
                  <c:v>11.221260300000003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FA-40DE-AA3A-7E661AC4E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41536"/>
        <c:axId val="552217056"/>
      </c:barChart>
      <c:catAx>
        <c:axId val="5522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17056"/>
        <c:crosses val="autoZero"/>
        <c:auto val="1"/>
        <c:lblAlgn val="ctr"/>
        <c:lblOffset val="100"/>
        <c:noMultiLvlLbl val="0"/>
      </c:catAx>
      <c:valAx>
        <c:axId val="552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Nagpur!$B$1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Nagpur!$B$2:$B$5</c:f>
              <c:numCache>
                <c:formatCode>###,###,###</c:formatCode>
                <c:ptCount val="4"/>
                <c:pt idx="0">
                  <c:v>214.86284240000003</c:v>
                </c:pt>
                <c:pt idx="1">
                  <c:v>46.232300099999996</c:v>
                </c:pt>
                <c:pt idx="2">
                  <c:v>12.507396400000003</c:v>
                </c:pt>
                <c:pt idx="3">
                  <c:v>9.6234010999999988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B-492C-8566-C73EA4E2AEE9}"/>
            </c:ext>
          </c:extLst>
        </c:ser>
        <c:ser>
          <c:idx val="1"/>
          <c:order val="1"/>
          <c:tx>
            <c:strRef>
              <c:f>Nagpur!$C$1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Nagpur!$C$2:$C$5</c:f>
              <c:numCache>
                <c:formatCode>###,###,###</c:formatCode>
                <c:ptCount val="4"/>
                <c:pt idx="0">
                  <c:v>408.96375230000007</c:v>
                </c:pt>
                <c:pt idx="1">
                  <c:v>51.236027199999988</c:v>
                </c:pt>
                <c:pt idx="2">
                  <c:v>22.589910699999983</c:v>
                </c:pt>
                <c:pt idx="3">
                  <c:v>12.2545898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B-492C-8566-C73EA4E2AEE9}"/>
            </c:ext>
          </c:extLst>
        </c:ser>
        <c:ser>
          <c:idx val="2"/>
          <c:order val="2"/>
          <c:tx>
            <c:strRef>
              <c:f>Nagpur!$E$1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VEG - OP</c:v>
                </c:pt>
                <c:pt idx="3">
                  <c:v>FIELD CROP - OP</c:v>
                </c:pt>
              </c:strCache>
            </c:strRef>
          </c:cat>
          <c:val>
            <c:numRef>
              <c:f>Nagpur!$E$2:$E$5</c:f>
              <c:numCache>
                <c:formatCode>###,###,###</c:formatCode>
                <c:ptCount val="4"/>
                <c:pt idx="0">
                  <c:v>474.26589850000011</c:v>
                </c:pt>
                <c:pt idx="1">
                  <c:v>96.635179899999912</c:v>
                </c:pt>
                <c:pt idx="2">
                  <c:v>14.604571600000002</c:v>
                </c:pt>
                <c:pt idx="3">
                  <c:v>5.7904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8B-492C-8566-C73EA4E2A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106400"/>
        <c:axId val="786099200"/>
      </c:barChart>
      <c:catAx>
        <c:axId val="7861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99200"/>
        <c:crosses val="autoZero"/>
        <c:auto val="1"/>
        <c:lblAlgn val="ctr"/>
        <c:lblOffset val="100"/>
        <c:noMultiLvlLbl val="0"/>
      </c:catAx>
      <c:valAx>
        <c:axId val="7860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Nagpur!$B$9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BITTER GOURD</c:v>
                </c:pt>
                <c:pt idx="5">
                  <c:v>TOMATO</c:v>
                </c:pt>
                <c:pt idx="6">
                  <c:v>CUCUMBER</c:v>
                </c:pt>
                <c:pt idx="7">
                  <c:v>RIDGE GOURD</c:v>
                </c:pt>
                <c:pt idx="8">
                  <c:v>BRINJAL</c:v>
                </c:pt>
                <c:pt idx="9">
                  <c:v>BOTTLE GOURD</c:v>
                </c:pt>
                <c:pt idx="10">
                  <c:v>SPONGE GOURD</c:v>
                </c:pt>
                <c:pt idx="11">
                  <c:v>CABBAGE</c:v>
                </c:pt>
                <c:pt idx="12">
                  <c:v>WATER MELON</c:v>
                </c:pt>
              </c:strCache>
            </c:strRef>
          </c:cat>
          <c:val>
            <c:numRef>
              <c:f>Nagpur!$B$10:$B$22</c:f>
              <c:numCache>
                <c:formatCode>###,###,###</c:formatCode>
                <c:ptCount val="13"/>
                <c:pt idx="0">
                  <c:v>18.718672900000001</c:v>
                </c:pt>
                <c:pt idx="1">
                  <c:v>8.7873202000000017</c:v>
                </c:pt>
                <c:pt idx="2">
                  <c:v>2.2681635</c:v>
                </c:pt>
                <c:pt idx="3">
                  <c:v>8.8747862999999985</c:v>
                </c:pt>
                <c:pt idx="4">
                  <c:v>2.2270216999999999</c:v>
                </c:pt>
                <c:pt idx="5">
                  <c:v>1.9256202</c:v>
                </c:pt>
                <c:pt idx="6">
                  <c:v>0.45130299999999995</c:v>
                </c:pt>
                <c:pt idx="7">
                  <c:v>0.28378219999999998</c:v>
                </c:pt>
                <c:pt idx="8">
                  <c:v>0.58819840000000012</c:v>
                </c:pt>
                <c:pt idx="9">
                  <c:v>0.13048459999999998</c:v>
                </c:pt>
                <c:pt idx="10">
                  <c:v>5.3590399999999989E-2</c:v>
                </c:pt>
                <c:pt idx="11">
                  <c:v>1.4994078</c:v>
                </c:pt>
                <c:pt idx="12">
                  <c:v>0.42394890000000002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9-4D25-BD67-44AA1867DE3C}"/>
            </c:ext>
          </c:extLst>
        </c:ser>
        <c:ser>
          <c:idx val="1"/>
          <c:order val="1"/>
          <c:tx>
            <c:strRef>
              <c:f>Nagpur!$C$9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BITTER GOURD</c:v>
                </c:pt>
                <c:pt idx="5">
                  <c:v>TOMATO</c:v>
                </c:pt>
                <c:pt idx="6">
                  <c:v>CUCUMBER</c:v>
                </c:pt>
                <c:pt idx="7">
                  <c:v>RIDGE GOURD</c:v>
                </c:pt>
                <c:pt idx="8">
                  <c:v>BRINJAL</c:v>
                </c:pt>
                <c:pt idx="9">
                  <c:v>BOTTLE GOURD</c:v>
                </c:pt>
                <c:pt idx="10">
                  <c:v>SPONGE GOURD</c:v>
                </c:pt>
                <c:pt idx="11">
                  <c:v>CABBAGE</c:v>
                </c:pt>
                <c:pt idx="12">
                  <c:v>WATER MELON</c:v>
                </c:pt>
              </c:strCache>
            </c:strRef>
          </c:cat>
          <c:val>
            <c:numRef>
              <c:f>Nagpur!$C$10:$C$22</c:f>
              <c:numCache>
                <c:formatCode>###,###,###</c:formatCode>
                <c:ptCount val="13"/>
                <c:pt idx="0">
                  <c:v>29.903817499999999</c:v>
                </c:pt>
                <c:pt idx="1">
                  <c:v>5.9607609999999989</c:v>
                </c:pt>
                <c:pt idx="2">
                  <c:v>5.1065573999999998</c:v>
                </c:pt>
                <c:pt idx="3">
                  <c:v>4.5934016</c:v>
                </c:pt>
                <c:pt idx="4">
                  <c:v>1.1830327999999999</c:v>
                </c:pt>
                <c:pt idx="5">
                  <c:v>1.7900401000000006</c:v>
                </c:pt>
                <c:pt idx="6">
                  <c:v>1.0243574</c:v>
                </c:pt>
                <c:pt idx="7">
                  <c:v>0.32738819999999996</c:v>
                </c:pt>
                <c:pt idx="8">
                  <c:v>0.17044409999999988</c:v>
                </c:pt>
                <c:pt idx="9">
                  <c:v>0.18203679999999997</c:v>
                </c:pt>
                <c:pt idx="10">
                  <c:v>-9.8673999999999915E-3</c:v>
                </c:pt>
                <c:pt idx="11">
                  <c:v>0.68749710000000019</c:v>
                </c:pt>
                <c:pt idx="12">
                  <c:v>0.31656059999999997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9-4D25-BD67-44AA1867DE3C}"/>
            </c:ext>
          </c:extLst>
        </c:ser>
        <c:ser>
          <c:idx val="2"/>
          <c:order val="2"/>
          <c:tx>
            <c:strRef>
              <c:f>Nagpur!$E$9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Nagpur!$A$10:$A$22</c:f>
              <c:strCache>
                <c:ptCount val="13"/>
                <c:pt idx="0">
                  <c:v>COWPEA</c:v>
                </c:pt>
                <c:pt idx="1">
                  <c:v>CHILLY</c:v>
                </c:pt>
                <c:pt idx="2">
                  <c:v>BEANS</c:v>
                </c:pt>
                <c:pt idx="3">
                  <c:v>OKRA</c:v>
                </c:pt>
                <c:pt idx="4">
                  <c:v>BITTER GOURD</c:v>
                </c:pt>
                <c:pt idx="5">
                  <c:v>TOMATO</c:v>
                </c:pt>
                <c:pt idx="6">
                  <c:v>CUCUMBER</c:v>
                </c:pt>
                <c:pt idx="7">
                  <c:v>RIDGE GOURD</c:v>
                </c:pt>
                <c:pt idx="8">
                  <c:v>BRINJAL</c:v>
                </c:pt>
                <c:pt idx="9">
                  <c:v>BOTTLE GOURD</c:v>
                </c:pt>
                <c:pt idx="10">
                  <c:v>SPONGE GOURD</c:v>
                </c:pt>
                <c:pt idx="11">
                  <c:v>CABBAGE</c:v>
                </c:pt>
                <c:pt idx="12">
                  <c:v>WATER MELON</c:v>
                </c:pt>
              </c:strCache>
            </c:strRef>
          </c:cat>
          <c:val>
            <c:numRef>
              <c:f>Nagpur!$E$10:$E$22</c:f>
              <c:numCache>
                <c:formatCode>###,###,###</c:formatCode>
                <c:ptCount val="13"/>
                <c:pt idx="0">
                  <c:v>57.109053199999991</c:v>
                </c:pt>
                <c:pt idx="1">
                  <c:v>10.471505199999999</c:v>
                </c:pt>
                <c:pt idx="2">
                  <c:v>9.5739426000000005</c:v>
                </c:pt>
                <c:pt idx="3">
                  <c:v>7.6539685999999998</c:v>
                </c:pt>
                <c:pt idx="4">
                  <c:v>4.4262005000000002</c:v>
                </c:pt>
                <c:pt idx="5">
                  <c:v>4.0923162999999994</c:v>
                </c:pt>
                <c:pt idx="6">
                  <c:v>1.6739991000000001</c:v>
                </c:pt>
                <c:pt idx="7">
                  <c:v>1.1062991</c:v>
                </c:pt>
                <c:pt idx="8">
                  <c:v>0.54180050000000002</c:v>
                </c:pt>
                <c:pt idx="9">
                  <c:v>0.27328639999999998</c:v>
                </c:pt>
                <c:pt idx="10">
                  <c:v>0.16784979999999999</c:v>
                </c:pt>
                <c:pt idx="11">
                  <c:v>5.3459599999999989E-2</c:v>
                </c:pt>
                <c:pt idx="12">
                  <c:v>-0.50850099999999998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9-4D25-BD67-44AA1867DE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59776"/>
        <c:axId val="552266016"/>
      </c:barChart>
      <c:catAx>
        <c:axId val="5522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66016"/>
        <c:crosses val="autoZero"/>
        <c:auto val="1"/>
        <c:lblAlgn val="ctr"/>
        <c:lblOffset val="100"/>
        <c:noMultiLvlLbl val="0"/>
      </c:catAx>
      <c:valAx>
        <c:axId val="5522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5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Nagpur!$B$26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Nagpur!$A$27:$A$33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COWPEA</c:v>
                </c:pt>
                <c:pt idx="5">
                  <c:v>OKRA</c:v>
                </c:pt>
                <c:pt idx="6">
                  <c:v>BEANS</c:v>
                </c:pt>
              </c:strCache>
            </c:strRef>
          </c:cat>
          <c:val>
            <c:numRef>
              <c:f>Nagpur!$B$27:$B$33</c:f>
              <c:numCache>
                <c:formatCode>###,###,###</c:formatCode>
                <c:ptCount val="7"/>
                <c:pt idx="0">
                  <c:v>3.7651222999999998</c:v>
                </c:pt>
                <c:pt idx="1">
                  <c:v>5.3289546999999997</c:v>
                </c:pt>
                <c:pt idx="2">
                  <c:v>1.3081456</c:v>
                </c:pt>
                <c:pt idx="3">
                  <c:v>0.89006320000000005</c:v>
                </c:pt>
                <c:pt idx="4">
                  <c:v>0.79380289999999998</c:v>
                </c:pt>
                <c:pt idx="5">
                  <c:v>0.36472410000000005</c:v>
                </c:pt>
                <c:pt idx="6">
                  <c:v>5.6583600000000005E-2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7-4DD8-BCCF-702416239D31}"/>
            </c:ext>
          </c:extLst>
        </c:ser>
        <c:ser>
          <c:idx val="1"/>
          <c:order val="1"/>
          <c:tx>
            <c:strRef>
              <c:f>Nagpur!$C$26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Nagpur!$A$27:$A$33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COWPEA</c:v>
                </c:pt>
                <c:pt idx="5">
                  <c:v>OKRA</c:v>
                </c:pt>
                <c:pt idx="6">
                  <c:v>BEANS</c:v>
                </c:pt>
              </c:strCache>
            </c:strRef>
          </c:cat>
          <c:val>
            <c:numRef>
              <c:f>Nagpur!$C$27:$C$33</c:f>
              <c:numCache>
                <c:formatCode>###,###,###</c:formatCode>
                <c:ptCount val="7"/>
                <c:pt idx="0">
                  <c:v>11.566305</c:v>
                </c:pt>
                <c:pt idx="1">
                  <c:v>6.6604961999999999</c:v>
                </c:pt>
                <c:pt idx="2">
                  <c:v>1.5849536</c:v>
                </c:pt>
                <c:pt idx="3">
                  <c:v>0.85789399999999982</c:v>
                </c:pt>
                <c:pt idx="4">
                  <c:v>1.5185798000000001</c:v>
                </c:pt>
                <c:pt idx="5">
                  <c:v>0.30253770000000002</c:v>
                </c:pt>
                <c:pt idx="6">
                  <c:v>9.9144399999999994E-2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7-4DD8-BCCF-702416239D31}"/>
            </c:ext>
          </c:extLst>
        </c:ser>
        <c:ser>
          <c:idx val="2"/>
          <c:order val="2"/>
          <c:tx>
            <c:strRef>
              <c:f>Nagpur!$E$26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Nagpur!$A$27:$A$33</c:f>
              <c:strCache>
                <c:ptCount val="7"/>
                <c:pt idx="0">
                  <c:v>CORIANDER</c:v>
                </c:pt>
                <c:pt idx="1">
                  <c:v>SPINACH ALL GREEN</c:v>
                </c:pt>
                <c:pt idx="2">
                  <c:v>RADISH</c:v>
                </c:pt>
                <c:pt idx="3">
                  <c:v>CLUSTER BEANS</c:v>
                </c:pt>
                <c:pt idx="4">
                  <c:v>COWPEA</c:v>
                </c:pt>
                <c:pt idx="5">
                  <c:v>OKRA</c:v>
                </c:pt>
                <c:pt idx="6">
                  <c:v>BEANS</c:v>
                </c:pt>
              </c:strCache>
            </c:strRef>
          </c:cat>
          <c:val>
            <c:numRef>
              <c:f>Nagpur!$E$27:$E$33</c:f>
              <c:numCache>
                <c:formatCode>###,###,###</c:formatCode>
                <c:ptCount val="7"/>
                <c:pt idx="0">
                  <c:v>6.1357967000000002</c:v>
                </c:pt>
                <c:pt idx="1">
                  <c:v>3.8348168000000005</c:v>
                </c:pt>
                <c:pt idx="2">
                  <c:v>1.7330301000000001</c:v>
                </c:pt>
                <c:pt idx="3">
                  <c:v>1.2195913</c:v>
                </c:pt>
                <c:pt idx="4">
                  <c:v>0.94054530000000003</c:v>
                </c:pt>
                <c:pt idx="5">
                  <c:v>0.48060140000000001</c:v>
                </c:pt>
                <c:pt idx="6">
                  <c:v>0.26018999999999998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47-4DD8-BCCF-702416239D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097760"/>
        <c:axId val="786110720"/>
      </c:barChart>
      <c:catAx>
        <c:axId val="7860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0720"/>
        <c:crosses val="autoZero"/>
        <c:auto val="1"/>
        <c:lblAlgn val="ctr"/>
        <c:lblOffset val="100"/>
        <c:noMultiLvlLbl val="0"/>
      </c:catAx>
      <c:valAx>
        <c:axId val="7861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Nagpur!$B$37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Nagpur!$B$38:$B$40</c:f>
              <c:numCache>
                <c:formatCode>###,###,###</c:formatCode>
                <c:ptCount val="3"/>
                <c:pt idx="0">
                  <c:v>212.92682079999997</c:v>
                </c:pt>
                <c:pt idx="1">
                  <c:v>0.96543000000000001</c:v>
                </c:pt>
                <c:pt idx="2">
                  <c:v>0.9705916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C-446B-BCB6-7130C05B7411}"/>
            </c:ext>
          </c:extLst>
        </c:ser>
        <c:ser>
          <c:idx val="1"/>
          <c:order val="1"/>
          <c:tx>
            <c:strRef>
              <c:f>Nagpur!$C$37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Nagpur!$C$38:$C$40</c:f>
              <c:numCache>
                <c:formatCode>###,###,###</c:formatCode>
                <c:ptCount val="3"/>
                <c:pt idx="0">
                  <c:v>407.21882230000006</c:v>
                </c:pt>
                <c:pt idx="1">
                  <c:v>1.3735999999999999</c:v>
                </c:pt>
                <c:pt idx="2">
                  <c:v>0.37132999999999999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C-446B-BCB6-7130C05B7411}"/>
            </c:ext>
          </c:extLst>
        </c:ser>
        <c:ser>
          <c:idx val="2"/>
          <c:order val="2"/>
          <c:tx>
            <c:strRef>
              <c:f>Nagpur!$E$37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Nagpur!$A$38:$A$40</c:f>
              <c:strCache>
                <c:ptCount val="3"/>
                <c:pt idx="0">
                  <c:v>COTTON</c:v>
                </c:pt>
                <c:pt idx="1">
                  <c:v>MAIZE</c:v>
                </c:pt>
                <c:pt idx="2">
                  <c:v>PADDY</c:v>
                </c:pt>
              </c:strCache>
            </c:strRef>
          </c:cat>
          <c:val>
            <c:numRef>
              <c:f>Nagpur!$E$38:$E$40</c:f>
              <c:numCache>
                <c:formatCode>###,###,###</c:formatCode>
                <c:ptCount val="3"/>
                <c:pt idx="0">
                  <c:v>470.73645850000008</c:v>
                </c:pt>
                <c:pt idx="1">
                  <c:v>3.5294400000000001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C-446B-BCB6-7130C05B7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34336"/>
        <c:axId val="552231456"/>
      </c:barChart>
      <c:catAx>
        <c:axId val="55223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31456"/>
        <c:crosses val="autoZero"/>
        <c:auto val="1"/>
        <c:lblAlgn val="ctr"/>
        <c:lblOffset val="100"/>
        <c:noMultiLvlLbl val="0"/>
      </c:catAx>
      <c:valAx>
        <c:axId val="55223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3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Nagpur!$B$44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Nagpur!$B$45</c:f>
              <c:numCache>
                <c:formatCode>###,###,###</c:formatCode>
                <c:ptCount val="1"/>
                <c:pt idx="0">
                  <c:v>9.6234010999999988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3-4EAB-A093-1A298472D9B3}"/>
            </c:ext>
          </c:extLst>
        </c:ser>
        <c:ser>
          <c:idx val="1"/>
          <c:order val="1"/>
          <c:tx>
            <c:strRef>
              <c:f>Nagpur!$C$44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Nagpur!$C$45</c:f>
              <c:numCache>
                <c:formatCode>###,###,###</c:formatCode>
                <c:ptCount val="1"/>
                <c:pt idx="0">
                  <c:v>12.2545898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3-4EAB-A093-1A298472D9B3}"/>
            </c:ext>
          </c:extLst>
        </c:ser>
        <c:ser>
          <c:idx val="2"/>
          <c:order val="2"/>
          <c:tx>
            <c:strRef>
              <c:f>Nagpur!$E$44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Nagpur!$A$45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Nagpur!$E$45</c:f>
              <c:numCache>
                <c:formatCode>###,###,###</c:formatCode>
                <c:ptCount val="1"/>
                <c:pt idx="0">
                  <c:v>5.7904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3-4EAB-A093-1A298472D9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40416"/>
        <c:axId val="552344736"/>
      </c:barChart>
      <c:catAx>
        <c:axId val="5523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44736"/>
        <c:crosses val="autoZero"/>
        <c:auto val="1"/>
        <c:lblAlgn val="ctr"/>
        <c:lblOffset val="100"/>
        <c:noMultiLvlLbl val="0"/>
      </c:catAx>
      <c:valAx>
        <c:axId val="5523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bhandara!$B$1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bhandara!$B$2:$B$5</c:f>
              <c:numCache>
                <c:formatCode>###,###,###</c:formatCode>
                <c:ptCount val="4"/>
                <c:pt idx="0">
                  <c:v>36.515850699999994</c:v>
                </c:pt>
                <c:pt idx="1">
                  <c:v>22.265295000000012</c:v>
                </c:pt>
                <c:pt idx="2">
                  <c:v>23.514163799999999</c:v>
                </c:pt>
                <c:pt idx="3">
                  <c:v>5.3009005000000009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D-4F49-8E3F-82BCAADDF55C}"/>
            </c:ext>
          </c:extLst>
        </c:ser>
        <c:ser>
          <c:idx val="1"/>
          <c:order val="1"/>
          <c:tx>
            <c:strRef>
              <c:f>bhandara!$C$1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bhandara!$C$2:$C$5</c:f>
              <c:numCache>
                <c:formatCode>###,###,###</c:formatCode>
                <c:ptCount val="4"/>
                <c:pt idx="0">
                  <c:v>53.199567899999998</c:v>
                </c:pt>
                <c:pt idx="1">
                  <c:v>23.8753256</c:v>
                </c:pt>
                <c:pt idx="2">
                  <c:v>17.940902699999999</c:v>
                </c:pt>
                <c:pt idx="3">
                  <c:v>6.8013138000000044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D-4F49-8E3F-82BCAADDF55C}"/>
            </c:ext>
          </c:extLst>
        </c:ser>
        <c:ser>
          <c:idx val="2"/>
          <c:order val="2"/>
          <c:tx>
            <c:strRef>
              <c:f>bhandara!$E$1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bhandara!$A$2:$A$5</c:f>
              <c:strCache>
                <c:ptCount val="4"/>
                <c:pt idx="0">
                  <c:v>FIELD CROP</c:v>
                </c:pt>
                <c:pt idx="1">
                  <c:v>VEG - HYBRID</c:v>
                </c:pt>
                <c:pt idx="2">
                  <c:v>FIELD CROP - OP</c:v>
                </c:pt>
                <c:pt idx="3">
                  <c:v>VEG - OP</c:v>
                </c:pt>
              </c:strCache>
            </c:strRef>
          </c:cat>
          <c:val>
            <c:numRef>
              <c:f>bhandara!$E$2:$E$5</c:f>
              <c:numCache>
                <c:formatCode>###,###,###</c:formatCode>
                <c:ptCount val="4"/>
                <c:pt idx="0">
                  <c:v>75.120892699999999</c:v>
                </c:pt>
                <c:pt idx="1">
                  <c:v>26.018245500000006</c:v>
                </c:pt>
                <c:pt idx="2">
                  <c:v>16.559999999999999</c:v>
                </c:pt>
                <c:pt idx="3">
                  <c:v>4.1735017999999995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D-4F49-8E3F-82BCAADDF5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300576"/>
        <c:axId val="552285696"/>
      </c:barChart>
      <c:catAx>
        <c:axId val="5523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85696"/>
        <c:crosses val="autoZero"/>
        <c:auto val="1"/>
        <c:lblAlgn val="ctr"/>
        <c:lblOffset val="100"/>
        <c:noMultiLvlLbl val="0"/>
      </c:catAx>
      <c:valAx>
        <c:axId val="5522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3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(Veg-Hy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bhandara!$B$10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bhandara!$A$11:$A$18</c:f>
              <c:strCache>
                <c:ptCount val="8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BOTTLE GOURD</c:v>
                </c:pt>
                <c:pt idx="7">
                  <c:v>BRINJAL</c:v>
                </c:pt>
              </c:strCache>
            </c:strRef>
          </c:cat>
          <c:val>
            <c:numRef>
              <c:f>bhandara!$B$11:$B$18</c:f>
              <c:numCache>
                <c:formatCode>###,###,###</c:formatCode>
                <c:ptCount val="8"/>
                <c:pt idx="0">
                  <c:v>8.8240695000000002</c:v>
                </c:pt>
                <c:pt idx="1">
                  <c:v>1.0656546999999998</c:v>
                </c:pt>
                <c:pt idx="2">
                  <c:v>4.5134465000000006</c:v>
                </c:pt>
                <c:pt idx="3">
                  <c:v>2.0701092999999999</c:v>
                </c:pt>
                <c:pt idx="4">
                  <c:v>2.7119798000000004</c:v>
                </c:pt>
                <c:pt idx="5">
                  <c:v>1.0917971</c:v>
                </c:pt>
                <c:pt idx="6">
                  <c:v>0.49397149999999995</c:v>
                </c:pt>
                <c:pt idx="7">
                  <c:v>0.50670420000000005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0-4B31-8A10-F0FCA6C591D9}"/>
            </c:ext>
          </c:extLst>
        </c:ser>
        <c:ser>
          <c:idx val="1"/>
          <c:order val="1"/>
          <c:tx>
            <c:strRef>
              <c:f>bhandara!$C$10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bhandara!$A$11:$A$18</c:f>
              <c:strCache>
                <c:ptCount val="8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BOTTLE GOURD</c:v>
                </c:pt>
                <c:pt idx="7">
                  <c:v>BRINJAL</c:v>
                </c:pt>
              </c:strCache>
            </c:strRef>
          </c:cat>
          <c:val>
            <c:numRef>
              <c:f>bhandara!$C$11:$C$18</c:f>
              <c:numCache>
                <c:formatCode>###,###,###</c:formatCode>
                <c:ptCount val="8"/>
                <c:pt idx="0">
                  <c:v>13.040129099999996</c:v>
                </c:pt>
                <c:pt idx="1">
                  <c:v>1.4841793999999999</c:v>
                </c:pt>
                <c:pt idx="2">
                  <c:v>1.1924174999999999</c:v>
                </c:pt>
                <c:pt idx="3">
                  <c:v>1.2600564000000001</c:v>
                </c:pt>
                <c:pt idx="4">
                  <c:v>4.4670671999999998</c:v>
                </c:pt>
                <c:pt idx="5">
                  <c:v>1.0391424</c:v>
                </c:pt>
                <c:pt idx="6">
                  <c:v>0.49888080000000001</c:v>
                </c:pt>
                <c:pt idx="7">
                  <c:v>0.40680250000000001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0-4B31-8A10-F0FCA6C591D9}"/>
            </c:ext>
          </c:extLst>
        </c:ser>
        <c:ser>
          <c:idx val="2"/>
          <c:order val="2"/>
          <c:tx>
            <c:strRef>
              <c:f>bhandara!$E$10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bhandara!$A$11:$A$18</c:f>
              <c:strCache>
                <c:ptCount val="8"/>
                <c:pt idx="0">
                  <c:v>COWPEA</c:v>
                </c:pt>
                <c:pt idx="1">
                  <c:v>BEANS</c:v>
                </c:pt>
                <c:pt idx="2">
                  <c:v>OKRA</c:v>
                </c:pt>
                <c:pt idx="3">
                  <c:v>BITTER GOURD</c:v>
                </c:pt>
                <c:pt idx="4">
                  <c:v>CHILLY</c:v>
                </c:pt>
                <c:pt idx="5">
                  <c:v>TOMATO</c:v>
                </c:pt>
                <c:pt idx="6">
                  <c:v>BOTTLE GOURD</c:v>
                </c:pt>
                <c:pt idx="7">
                  <c:v>BRINJAL</c:v>
                </c:pt>
              </c:strCache>
            </c:strRef>
          </c:cat>
          <c:val>
            <c:numRef>
              <c:f>bhandara!$E$11:$E$18</c:f>
              <c:numCache>
                <c:formatCode>###,###,###</c:formatCode>
                <c:ptCount val="8"/>
                <c:pt idx="0">
                  <c:v>21.163570499999999</c:v>
                </c:pt>
                <c:pt idx="1">
                  <c:v>1.5506222000000001</c:v>
                </c:pt>
                <c:pt idx="2">
                  <c:v>1.2693677999999999</c:v>
                </c:pt>
                <c:pt idx="3">
                  <c:v>0.59544170000000007</c:v>
                </c:pt>
                <c:pt idx="4">
                  <c:v>0.48914920000000001</c:v>
                </c:pt>
                <c:pt idx="5">
                  <c:v>0.30256959999999999</c:v>
                </c:pt>
                <c:pt idx="6">
                  <c:v>0.19392900000000002</c:v>
                </c:pt>
                <c:pt idx="7">
                  <c:v>0.19050159999999999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0-4B31-8A10-F0FCA6C59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70256"/>
        <c:axId val="476481296"/>
      </c:barChart>
      <c:catAx>
        <c:axId val="47647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81296"/>
        <c:crosses val="autoZero"/>
        <c:auto val="1"/>
        <c:lblAlgn val="ctr"/>
        <c:lblOffset val="100"/>
        <c:noMultiLvlLbl val="0"/>
      </c:catAx>
      <c:valAx>
        <c:axId val="47648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7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(Veg-OP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bhandara!$B$28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bhandara!$A$29:$A$33</c:f>
              <c:strCache>
                <c:ptCount val="5"/>
                <c:pt idx="0">
                  <c:v>CORIANDER</c:v>
                </c:pt>
                <c:pt idx="1">
                  <c:v>COWPEA</c:v>
                </c:pt>
                <c:pt idx="2">
                  <c:v>CLUSTER BEANS</c:v>
                </c:pt>
                <c:pt idx="3">
                  <c:v>OKRA</c:v>
                </c:pt>
                <c:pt idx="4">
                  <c:v>SPINACH ALL GREEN</c:v>
                </c:pt>
              </c:strCache>
            </c:strRef>
          </c:cat>
          <c:val>
            <c:numRef>
              <c:f>bhandara!$B$29:$B$33</c:f>
              <c:numCache>
                <c:formatCode>###,###,###</c:formatCode>
                <c:ptCount val="5"/>
                <c:pt idx="0">
                  <c:v>1.8884357999999999</c:v>
                </c:pt>
                <c:pt idx="1">
                  <c:v>1.5976084999999995</c:v>
                </c:pt>
                <c:pt idx="2">
                  <c:v>0.5450467</c:v>
                </c:pt>
                <c:pt idx="3">
                  <c:v>0.40617169999999997</c:v>
                </c:pt>
                <c:pt idx="4">
                  <c:v>0.687608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0-4D42-B077-7D600335C9CB}"/>
            </c:ext>
          </c:extLst>
        </c:ser>
        <c:ser>
          <c:idx val="1"/>
          <c:order val="1"/>
          <c:tx>
            <c:strRef>
              <c:f>bhandara!$C$28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bhandara!$A$29:$A$33</c:f>
              <c:strCache>
                <c:ptCount val="5"/>
                <c:pt idx="0">
                  <c:v>CORIANDER</c:v>
                </c:pt>
                <c:pt idx="1">
                  <c:v>COWPEA</c:v>
                </c:pt>
                <c:pt idx="2">
                  <c:v>CLUSTER BEANS</c:v>
                </c:pt>
                <c:pt idx="3">
                  <c:v>OKRA</c:v>
                </c:pt>
                <c:pt idx="4">
                  <c:v>SPINACH ALL GREEN</c:v>
                </c:pt>
              </c:strCache>
            </c:strRef>
          </c:cat>
          <c:val>
            <c:numRef>
              <c:f>bhandara!$C$29:$C$33</c:f>
              <c:numCache>
                <c:formatCode>###,###,###</c:formatCode>
                <c:ptCount val="5"/>
                <c:pt idx="0">
                  <c:v>2.6330955</c:v>
                </c:pt>
                <c:pt idx="1">
                  <c:v>2.2270352999999998</c:v>
                </c:pt>
                <c:pt idx="2">
                  <c:v>0.55545739999999999</c:v>
                </c:pt>
                <c:pt idx="3">
                  <c:v>0.44843979999999994</c:v>
                </c:pt>
                <c:pt idx="4">
                  <c:v>0.75915100000000002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0-4D42-B077-7D600335C9CB}"/>
            </c:ext>
          </c:extLst>
        </c:ser>
        <c:ser>
          <c:idx val="2"/>
          <c:order val="2"/>
          <c:tx>
            <c:strRef>
              <c:f>bhandara!$E$28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bhandara!$A$29:$A$33</c:f>
              <c:strCache>
                <c:ptCount val="5"/>
                <c:pt idx="0">
                  <c:v>CORIANDER</c:v>
                </c:pt>
                <c:pt idx="1">
                  <c:v>COWPEA</c:v>
                </c:pt>
                <c:pt idx="2">
                  <c:v>CLUSTER BEANS</c:v>
                </c:pt>
                <c:pt idx="3">
                  <c:v>OKRA</c:v>
                </c:pt>
                <c:pt idx="4">
                  <c:v>SPINACH ALL GREEN</c:v>
                </c:pt>
              </c:strCache>
            </c:strRef>
          </c:cat>
          <c:val>
            <c:numRef>
              <c:f>bhandara!$E$29:$E$33</c:f>
              <c:numCache>
                <c:formatCode>###,###,###</c:formatCode>
                <c:ptCount val="5"/>
                <c:pt idx="0">
                  <c:v>1.6384082</c:v>
                </c:pt>
                <c:pt idx="1">
                  <c:v>0.91498199999999996</c:v>
                </c:pt>
                <c:pt idx="2">
                  <c:v>0.54981250000000004</c:v>
                </c:pt>
                <c:pt idx="3">
                  <c:v>0.52255569999999996</c:v>
                </c:pt>
                <c:pt idx="4">
                  <c:v>0.38250290000000003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0-4D42-B077-7D600335C9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113600"/>
        <c:axId val="786112640"/>
      </c:barChart>
      <c:catAx>
        <c:axId val="7861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2640"/>
        <c:crosses val="autoZero"/>
        <c:auto val="1"/>
        <c:lblAlgn val="ctr"/>
        <c:lblOffset val="100"/>
        <c:noMultiLvlLbl val="0"/>
      </c:catAx>
      <c:valAx>
        <c:axId val="7861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bhandara!$B$39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bhandara!$A$40:$A$42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COTTON</c:v>
                </c:pt>
              </c:strCache>
            </c:strRef>
          </c:cat>
          <c:val>
            <c:numRef>
              <c:f>bhandara!$B$40:$B$42</c:f>
              <c:numCache>
                <c:formatCode>###,###,###</c:formatCode>
                <c:ptCount val="3"/>
                <c:pt idx="0">
                  <c:v>31.581738700000002</c:v>
                </c:pt>
                <c:pt idx="1">
                  <c:v>3.3987119999999997</c:v>
                </c:pt>
                <c:pt idx="2">
                  <c:v>1.5354000000000001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0-4EE4-9377-7DC19F0AD05A}"/>
            </c:ext>
          </c:extLst>
        </c:ser>
        <c:ser>
          <c:idx val="1"/>
          <c:order val="1"/>
          <c:tx>
            <c:strRef>
              <c:f>bhandara!$C$39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bhandara!$A$40:$A$42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COTTON</c:v>
                </c:pt>
              </c:strCache>
            </c:strRef>
          </c:cat>
          <c:val>
            <c:numRef>
              <c:f>bhandara!$C$40:$C$42</c:f>
              <c:numCache>
                <c:formatCode>###,###,###</c:formatCode>
                <c:ptCount val="3"/>
                <c:pt idx="0">
                  <c:v>47.976527900000001</c:v>
                </c:pt>
                <c:pt idx="1">
                  <c:v>0.85119999999999996</c:v>
                </c:pt>
                <c:pt idx="2">
                  <c:v>4.3718399999999997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0-4EE4-9377-7DC19F0AD05A}"/>
            </c:ext>
          </c:extLst>
        </c:ser>
        <c:ser>
          <c:idx val="2"/>
          <c:order val="2"/>
          <c:tx>
            <c:strRef>
              <c:f>bhandara!$E$39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bhandara!$A$40:$A$42</c:f>
              <c:strCache>
                <c:ptCount val="3"/>
                <c:pt idx="0">
                  <c:v>PADDY</c:v>
                </c:pt>
                <c:pt idx="1">
                  <c:v>MAIZE</c:v>
                </c:pt>
                <c:pt idx="2">
                  <c:v>COTTON</c:v>
                </c:pt>
              </c:strCache>
            </c:strRef>
          </c:cat>
          <c:val>
            <c:numRef>
              <c:f>bhandara!$E$40:$E$42</c:f>
              <c:numCache>
                <c:formatCode>###,###,###</c:formatCode>
                <c:ptCount val="3"/>
                <c:pt idx="0">
                  <c:v>68.763632700000002</c:v>
                </c:pt>
                <c:pt idx="1">
                  <c:v>3.42</c:v>
                </c:pt>
                <c:pt idx="2">
                  <c:v>2.9372600000000002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F0-4EE4-9377-7DC19F0AD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435696"/>
        <c:axId val="476431376"/>
      </c:barChart>
      <c:catAx>
        <c:axId val="4764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31376"/>
        <c:crosses val="autoZero"/>
        <c:auto val="1"/>
        <c:lblAlgn val="ctr"/>
        <c:lblOffset val="100"/>
        <c:noMultiLvlLbl val="0"/>
      </c:catAx>
      <c:valAx>
        <c:axId val="4764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43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</a:rPr>
              <a:t>Net Sale By Crop Name (FC-OP</a:t>
            </a:r>
            <a:r>
              <a:rPr lang="en-IN" sz="1400" b="0" i="0" u="none" strike="noStrike" kern="1200" spc="0" baseline="0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bhandara!$B$46</c:f>
              <c:strCache>
                <c:ptCount val="1"/>
                <c:pt idx="0">
                  <c:v>NET SALE 23-24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bhandara!$B$47</c:f>
              <c:numCache>
                <c:formatCode>###,###,###</c:formatCode>
                <c:ptCount val="1"/>
                <c:pt idx="0">
                  <c:v>23.514163799999999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F-4AB3-9CB2-6BCB9799D4B7}"/>
            </c:ext>
          </c:extLst>
        </c:ser>
        <c:ser>
          <c:idx val="1"/>
          <c:order val="1"/>
          <c:tx>
            <c:strRef>
              <c:f>bhandara!$C$46</c:f>
              <c:strCache>
                <c:ptCount val="1"/>
                <c:pt idx="0">
                  <c:v>NET SALE 24-25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bhandara!$C$47</c:f>
              <c:numCache>
                <c:formatCode>###,###,###</c:formatCode>
                <c:ptCount val="1"/>
                <c:pt idx="0">
                  <c:v>17.940902699999999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F-4AB3-9CB2-6BCB9799D4B7}"/>
            </c:ext>
          </c:extLst>
        </c:ser>
        <c:ser>
          <c:idx val="2"/>
          <c:order val="2"/>
          <c:tx>
            <c:strRef>
              <c:f>bhandara!$E$46</c:f>
              <c:strCache>
                <c:ptCount val="1"/>
                <c:pt idx="0">
                  <c:v>NET SALE 25-26 (UPTO 14 NOV 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bhandara!$A$47</c:f>
              <c:strCache>
                <c:ptCount val="1"/>
                <c:pt idx="0">
                  <c:v>BERSEEM</c:v>
                </c:pt>
              </c:strCache>
            </c:strRef>
          </c:cat>
          <c:val>
            <c:numRef>
              <c:f>bhandara!$E$47</c:f>
              <c:numCache>
                <c:formatCode>###,###,###</c:formatCode>
                <c:ptCount val="1"/>
                <c:pt idx="0">
                  <c:v>16.559999999999999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F-4AB3-9CB2-6BCB9799D4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2270336"/>
        <c:axId val="552275136"/>
      </c:barChart>
      <c:catAx>
        <c:axId val="55227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75136"/>
        <c:crosses val="autoZero"/>
        <c:auto val="1"/>
        <c:lblAlgn val="ctr"/>
        <c:lblOffset val="100"/>
        <c:noMultiLvlLbl val="0"/>
      </c:catAx>
      <c:valAx>
        <c:axId val="5522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5" Type="http://schemas.openxmlformats.org/officeDocument/2006/relationships/chart" Target="../charts/chart58.xml"/><Relationship Id="rId4" Type="http://schemas.openxmlformats.org/officeDocument/2006/relationships/chart" Target="../charts/chart5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5" Type="http://schemas.openxmlformats.org/officeDocument/2006/relationships/chart" Target="../charts/chart67.xml"/><Relationship Id="rId4" Type="http://schemas.openxmlformats.org/officeDocument/2006/relationships/chart" Target="../charts/chart6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5" Type="http://schemas.openxmlformats.org/officeDocument/2006/relationships/chart" Target="../charts/chart72.xml"/><Relationship Id="rId4" Type="http://schemas.openxmlformats.org/officeDocument/2006/relationships/chart" Target="../charts/chart71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0</xdr:row>
      <xdr:rowOff>0</xdr:rowOff>
    </xdr:from>
    <xdr:to>
      <xdr:col>15</xdr:col>
      <xdr:colOff>480060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436AD-A685-9CDC-91B8-68C0E71CD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14</xdr:row>
      <xdr:rowOff>80010</xdr:rowOff>
    </xdr:from>
    <xdr:to>
      <xdr:col>15</xdr:col>
      <xdr:colOff>419100</xdr:colOff>
      <xdr:row>29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5AC05E-9F60-67B0-9A5C-5DEEDB299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91440</xdr:colOff>
      <xdr:row>30</xdr:row>
      <xdr:rowOff>87630</xdr:rowOff>
    </xdr:from>
    <xdr:to>
      <xdr:col>15</xdr:col>
      <xdr:colOff>396240</xdr:colOff>
      <xdr:row>45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C3EDB0-3D7D-985F-0965-6A1C2FB79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243840</xdr:colOff>
      <xdr:row>46</xdr:row>
      <xdr:rowOff>64770</xdr:rowOff>
    </xdr:from>
    <xdr:to>
      <xdr:col>15</xdr:col>
      <xdr:colOff>548640</xdr:colOff>
      <xdr:row>61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660B06-C1E5-66B4-4E7C-5AFF777E1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0</xdr:row>
      <xdr:rowOff>156210</xdr:rowOff>
    </xdr:from>
    <xdr:to>
      <xdr:col>16</xdr:col>
      <xdr:colOff>205740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155C7-BDFC-3F72-E016-C43591979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327660</xdr:colOff>
      <xdr:row>17</xdr:row>
      <xdr:rowOff>19050</xdr:rowOff>
    </xdr:from>
    <xdr:to>
      <xdr:col>17</xdr:col>
      <xdr:colOff>22860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983D9-B65C-4AD6-1EF0-F73997056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160020</xdr:colOff>
      <xdr:row>33</xdr:row>
      <xdr:rowOff>80010</xdr:rowOff>
    </xdr:from>
    <xdr:to>
      <xdr:col>17</xdr:col>
      <xdr:colOff>464820</xdr:colOff>
      <xdr:row>48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401FCE-578B-ECF4-3411-B2862789D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40</xdr:row>
      <xdr:rowOff>49530</xdr:rowOff>
    </xdr:from>
    <xdr:to>
      <xdr:col>4</xdr:col>
      <xdr:colOff>1737360</xdr:colOff>
      <xdr:row>55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3152E7-2E9C-43EE-6086-5B4F83D7B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0</xdr:rowOff>
    </xdr:from>
    <xdr:to>
      <xdr:col>15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C66E5-D08F-F863-BD2E-CC7CCE79A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15</xdr:row>
      <xdr:rowOff>156210</xdr:rowOff>
    </xdr:from>
    <xdr:to>
      <xdr:col>15</xdr:col>
      <xdr:colOff>358140</xdr:colOff>
      <xdr:row>30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B40DD-28B9-10A8-00FE-CFE2B6F04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31</xdr:row>
      <xdr:rowOff>133350</xdr:rowOff>
    </xdr:from>
    <xdr:to>
      <xdr:col>15</xdr:col>
      <xdr:colOff>342900</xdr:colOff>
      <xdr:row>47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493A6-121B-5A62-3B94-7C91ADDC7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48</xdr:row>
      <xdr:rowOff>80010</xdr:rowOff>
    </xdr:from>
    <xdr:to>
      <xdr:col>15</xdr:col>
      <xdr:colOff>342900</xdr:colOff>
      <xdr:row>63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6CF215-41C8-943F-C7D0-E0553068D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274320</xdr:colOff>
      <xdr:row>64</xdr:row>
      <xdr:rowOff>87630</xdr:rowOff>
    </xdr:from>
    <xdr:to>
      <xdr:col>16</xdr:col>
      <xdr:colOff>167640</xdr:colOff>
      <xdr:row>79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144B3-9A96-9889-FD94-79F875881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0</xdr:row>
      <xdr:rowOff>0</xdr:rowOff>
    </xdr:from>
    <xdr:to>
      <xdr:col>19</xdr:col>
      <xdr:colOff>91440</xdr:colOff>
      <xdr:row>13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5C425-64E8-4027-4852-4D3D2C78D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274320</xdr:colOff>
      <xdr:row>14</xdr:row>
      <xdr:rowOff>110490</xdr:rowOff>
    </xdr:from>
    <xdr:to>
      <xdr:col>18</xdr:col>
      <xdr:colOff>579120</xdr:colOff>
      <xdr:row>29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B450F7-6109-141A-D47B-56E7A4D39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304800</xdr:colOff>
      <xdr:row>30</xdr:row>
      <xdr:rowOff>11430</xdr:rowOff>
    </xdr:from>
    <xdr:to>
      <xdr:col>19</xdr:col>
      <xdr:colOff>0</xdr:colOff>
      <xdr:row>46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7107C5-2AF6-B6FA-4E15-536C20DE2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198120</xdr:colOff>
      <xdr:row>62</xdr:row>
      <xdr:rowOff>3810</xdr:rowOff>
    </xdr:from>
    <xdr:to>
      <xdr:col>18</xdr:col>
      <xdr:colOff>502920</xdr:colOff>
      <xdr:row>77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998A94-27CD-45AB-33E7-2F6A16F7C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358140</xdr:colOff>
      <xdr:row>46</xdr:row>
      <xdr:rowOff>64770</xdr:rowOff>
    </xdr:from>
    <xdr:to>
      <xdr:col>19</xdr:col>
      <xdr:colOff>53340</xdr:colOff>
      <xdr:row>61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C99B62-E144-BE22-0E9D-3878135C6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0</xdr:row>
      <xdr:rowOff>0</xdr:rowOff>
    </xdr:from>
    <xdr:to>
      <xdr:col>19</xdr:col>
      <xdr:colOff>7620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D1EF08-A333-163A-DBDB-63F1C5CC9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15</xdr:row>
      <xdr:rowOff>80010</xdr:rowOff>
    </xdr:from>
    <xdr:to>
      <xdr:col>19</xdr:col>
      <xdr:colOff>114300</xdr:colOff>
      <xdr:row>30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32EA90-4846-EE4D-AE2F-E723FAFC4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464820</xdr:colOff>
      <xdr:row>31</xdr:row>
      <xdr:rowOff>19050</xdr:rowOff>
    </xdr:from>
    <xdr:to>
      <xdr:col>19</xdr:col>
      <xdr:colOff>160020</xdr:colOff>
      <xdr:row>47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FE281F-9F00-B147-237B-32ECB9BE2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137160</xdr:colOff>
      <xdr:row>64</xdr:row>
      <xdr:rowOff>95250</xdr:rowOff>
    </xdr:from>
    <xdr:to>
      <xdr:col>19</xdr:col>
      <xdr:colOff>312420</xdr:colOff>
      <xdr:row>79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263DB4-5E1B-1372-DA44-CD6D6BB60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502920</xdr:colOff>
      <xdr:row>47</xdr:row>
      <xdr:rowOff>125730</xdr:rowOff>
    </xdr:from>
    <xdr:to>
      <xdr:col>19</xdr:col>
      <xdr:colOff>198120</xdr:colOff>
      <xdr:row>62</xdr:row>
      <xdr:rowOff>125730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C9F95B-7107-81BF-54E0-4340912E4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0</xdr:row>
      <xdr:rowOff>80010</xdr:rowOff>
    </xdr:from>
    <xdr:to>
      <xdr:col>17</xdr:col>
      <xdr:colOff>487680</xdr:colOff>
      <xdr:row>15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942C61-1A31-C1F3-B1FC-DA6930F54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16</xdr:row>
      <xdr:rowOff>26670</xdr:rowOff>
    </xdr:from>
    <xdr:to>
      <xdr:col>18</xdr:col>
      <xdr:colOff>297180</xdr:colOff>
      <xdr:row>31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1E9B72-45B5-E3AD-F1C8-889B22CEC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31</xdr:row>
      <xdr:rowOff>102870</xdr:rowOff>
    </xdr:from>
    <xdr:to>
      <xdr:col>18</xdr:col>
      <xdr:colOff>30480</xdr:colOff>
      <xdr:row>46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81CDA3-8068-C43A-E3F7-C7C56E384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480060</xdr:colOff>
      <xdr:row>47</xdr:row>
      <xdr:rowOff>57150</xdr:rowOff>
    </xdr:from>
    <xdr:to>
      <xdr:col>18</xdr:col>
      <xdr:colOff>175260</xdr:colOff>
      <xdr:row>62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29B659-C554-6A08-276D-3D3085C5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594360</xdr:colOff>
      <xdr:row>63</xdr:row>
      <xdr:rowOff>110490</xdr:rowOff>
    </xdr:from>
    <xdr:to>
      <xdr:col>18</xdr:col>
      <xdr:colOff>289560</xdr:colOff>
      <xdr:row>78</xdr:row>
      <xdr:rowOff>110490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AB45A7-594A-519B-8E87-8E096F4B7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0</xdr:row>
      <xdr:rowOff>34290</xdr:rowOff>
    </xdr:from>
    <xdr:to>
      <xdr:col>17</xdr:col>
      <xdr:colOff>259080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8785B-9B22-5129-17F5-79431ADBA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</xdr:colOff>
      <xdr:row>17</xdr:row>
      <xdr:rowOff>49530</xdr:rowOff>
    </xdr:from>
    <xdr:to>
      <xdr:col>17</xdr:col>
      <xdr:colOff>358140</xdr:colOff>
      <xdr:row>32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C1878-4BFB-1D4D-DCB6-5FF2760EE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106680</xdr:colOff>
      <xdr:row>33</xdr:row>
      <xdr:rowOff>3810</xdr:rowOff>
    </xdr:from>
    <xdr:to>
      <xdr:col>17</xdr:col>
      <xdr:colOff>411480</xdr:colOff>
      <xdr:row>49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2AC0C-2A85-87B6-69CF-98DC32E3B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114300</xdr:colOff>
      <xdr:row>49</xdr:row>
      <xdr:rowOff>95250</xdr:rowOff>
    </xdr:from>
    <xdr:to>
      <xdr:col>17</xdr:col>
      <xdr:colOff>419100</xdr:colOff>
      <xdr:row>64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066D61-A52C-8AF9-B2C0-E5F0AA89A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243840</xdr:colOff>
      <xdr:row>65</xdr:row>
      <xdr:rowOff>26670</xdr:rowOff>
    </xdr:from>
    <xdr:to>
      <xdr:col>17</xdr:col>
      <xdr:colOff>548640</xdr:colOff>
      <xdr:row>80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CD701F-D969-4003-1D7F-C44753DCF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480060</xdr:colOff>
      <xdr:row>0</xdr:row>
      <xdr:rowOff>156210</xdr:rowOff>
    </xdr:from>
    <xdr:to>
      <xdr:col>18</xdr:col>
      <xdr:colOff>175260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77191-327E-7EB6-1F33-C38E9DAF6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16</xdr:row>
      <xdr:rowOff>125730</xdr:rowOff>
    </xdr:from>
    <xdr:to>
      <xdr:col>18</xdr:col>
      <xdr:colOff>297180</xdr:colOff>
      <xdr:row>31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FD79D-8348-294C-9855-81AFE446C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205740</xdr:colOff>
      <xdr:row>33</xdr:row>
      <xdr:rowOff>64770</xdr:rowOff>
    </xdr:from>
    <xdr:to>
      <xdr:col>18</xdr:col>
      <xdr:colOff>510540</xdr:colOff>
      <xdr:row>48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30B168-97BF-6CCF-E586-48A7167FB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419100</xdr:colOff>
      <xdr:row>49</xdr:row>
      <xdr:rowOff>3810</xdr:rowOff>
    </xdr:from>
    <xdr:to>
      <xdr:col>19</xdr:col>
      <xdr:colOff>114300</xdr:colOff>
      <xdr:row>64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8E24EA-47B2-65BA-4852-01EB27A7C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281940</xdr:colOff>
      <xdr:row>65</xdr:row>
      <xdr:rowOff>156210</xdr:rowOff>
    </xdr:from>
    <xdr:to>
      <xdr:col>21</xdr:col>
      <xdr:colOff>53340</xdr:colOff>
      <xdr:row>80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F379F-45E1-0504-0376-2C697E70D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289560</xdr:colOff>
      <xdr:row>0</xdr:row>
      <xdr:rowOff>0</xdr:rowOff>
    </xdr:from>
    <xdr:to>
      <xdr:col>19</xdr:col>
      <xdr:colOff>594360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42E267-4E55-3AA2-5D5F-D54FFF12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320040</xdr:colOff>
      <xdr:row>16</xdr:row>
      <xdr:rowOff>87630</xdr:rowOff>
    </xdr:from>
    <xdr:to>
      <xdr:col>20</xdr:col>
      <xdr:colOff>15240</xdr:colOff>
      <xdr:row>33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411384-66D8-02D7-0A50-16BFFFC0F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35</xdr:row>
      <xdr:rowOff>102870</xdr:rowOff>
    </xdr:from>
    <xdr:to>
      <xdr:col>20</xdr:col>
      <xdr:colOff>274320</xdr:colOff>
      <xdr:row>50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A09580-D37B-3555-8197-2BB26E3B5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594360</xdr:colOff>
      <xdr:row>69</xdr:row>
      <xdr:rowOff>3810</xdr:rowOff>
    </xdr:from>
    <xdr:to>
      <xdr:col>21</xdr:col>
      <xdr:colOff>236220</xdr:colOff>
      <xdr:row>84</xdr:row>
      <xdr:rowOff>3810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E6FEEE-376F-AA6A-2EFE-C7F7E39B2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571500</xdr:colOff>
      <xdr:row>51</xdr:row>
      <xdr:rowOff>163830</xdr:rowOff>
    </xdr:from>
    <xdr:to>
      <xdr:col>20</xdr:col>
      <xdr:colOff>266700</xdr:colOff>
      <xdr:row>66</xdr:row>
      <xdr:rowOff>163830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ECD070-72D0-2B4B-BEE4-E2942F393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0</xdr:row>
      <xdr:rowOff>179070</xdr:rowOff>
    </xdr:from>
    <xdr:to>
      <xdr:col>18</xdr:col>
      <xdr:colOff>563880</xdr:colOff>
      <xdr:row>15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ADC55E-1A6B-B212-FB60-81DE8E5CF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335280</xdr:colOff>
      <xdr:row>16</xdr:row>
      <xdr:rowOff>148590</xdr:rowOff>
    </xdr:from>
    <xdr:to>
      <xdr:col>19</xdr:col>
      <xdr:colOff>30480</xdr:colOff>
      <xdr:row>34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BC66DE-7F70-FD1F-9764-305C5228E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289560</xdr:colOff>
      <xdr:row>36</xdr:row>
      <xdr:rowOff>19050</xdr:rowOff>
    </xdr:from>
    <xdr:to>
      <xdr:col>18</xdr:col>
      <xdr:colOff>594360</xdr:colOff>
      <xdr:row>51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55F72E-182C-A7F0-D610-7F7B7C97F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426720</xdr:colOff>
      <xdr:row>52</xdr:row>
      <xdr:rowOff>179070</xdr:rowOff>
    </xdr:from>
    <xdr:to>
      <xdr:col>19</xdr:col>
      <xdr:colOff>121920</xdr:colOff>
      <xdr:row>67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CC2C4B-8930-87F4-F7FD-81B2EF631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45720</xdr:colOff>
      <xdr:row>69</xdr:row>
      <xdr:rowOff>118110</xdr:rowOff>
    </xdr:from>
    <xdr:to>
      <xdr:col>20</xdr:col>
      <xdr:colOff>68580</xdr:colOff>
      <xdr:row>84</xdr:row>
      <xdr:rowOff>118110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DD7097-B859-CEEC-3DE4-BD3E54112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0</xdr:row>
      <xdr:rowOff>0</xdr:rowOff>
    </xdr:from>
    <xdr:to>
      <xdr:col>17</xdr:col>
      <xdr:colOff>548640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B0E44-4FC6-3D72-60DA-C48093B6E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373380</xdr:colOff>
      <xdr:row>15</xdr:row>
      <xdr:rowOff>64770</xdr:rowOff>
    </xdr:from>
    <xdr:to>
      <xdr:col>18</xdr:col>
      <xdr:colOff>68580</xdr:colOff>
      <xdr:row>32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24B7B-2557-BB8D-7D08-3BB17FBE8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</xdr:colOff>
      <xdr:row>34</xdr:row>
      <xdr:rowOff>72390</xdr:rowOff>
    </xdr:from>
    <xdr:to>
      <xdr:col>18</xdr:col>
      <xdr:colOff>350520</xdr:colOff>
      <xdr:row>49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5058B5-BA0D-EF0D-06BE-BDA559B6E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144780</xdr:colOff>
      <xdr:row>50</xdr:row>
      <xdr:rowOff>133350</xdr:rowOff>
    </xdr:from>
    <xdr:to>
      <xdr:col>18</xdr:col>
      <xdr:colOff>449580</xdr:colOff>
      <xdr:row>65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38A1B4-B246-2EA7-03D4-81C5D377A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533400</xdr:colOff>
      <xdr:row>67</xdr:row>
      <xdr:rowOff>72390</xdr:rowOff>
    </xdr:from>
    <xdr:to>
      <xdr:col>20</xdr:col>
      <xdr:colOff>60960</xdr:colOff>
      <xdr:row>82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34DA1E-9C3F-6D35-98E9-6708E3C2C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0</xdr:row>
      <xdr:rowOff>0</xdr:rowOff>
    </xdr:from>
    <xdr:to>
      <xdr:col>17</xdr:col>
      <xdr:colOff>495300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FDCA4-6F3A-7158-8745-4B6633A5D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15</xdr:row>
      <xdr:rowOff>80010</xdr:rowOff>
    </xdr:from>
    <xdr:to>
      <xdr:col>17</xdr:col>
      <xdr:colOff>472440</xdr:colOff>
      <xdr:row>30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468088-1F2D-8BD6-CF7D-DD11BA1A7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198120</xdr:colOff>
      <xdr:row>30</xdr:row>
      <xdr:rowOff>179070</xdr:rowOff>
    </xdr:from>
    <xdr:to>
      <xdr:col>17</xdr:col>
      <xdr:colOff>502920</xdr:colOff>
      <xdr:row>45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93E76B-3D6E-7986-AB21-67D2ACB28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137160</xdr:colOff>
      <xdr:row>46</xdr:row>
      <xdr:rowOff>156210</xdr:rowOff>
    </xdr:from>
    <xdr:to>
      <xdr:col>17</xdr:col>
      <xdr:colOff>441960</xdr:colOff>
      <xdr:row>61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B10A7A-1224-B52C-3995-1A65068B2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259080</xdr:colOff>
      <xdr:row>62</xdr:row>
      <xdr:rowOff>179070</xdr:rowOff>
    </xdr:from>
    <xdr:to>
      <xdr:col>18</xdr:col>
      <xdr:colOff>419100</xdr:colOff>
      <xdr:row>77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496A70-213A-A244-B8CF-116ADF80A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0</xdr:row>
      <xdr:rowOff>0</xdr:rowOff>
    </xdr:from>
    <xdr:to>
      <xdr:col>18</xdr:col>
      <xdr:colOff>411480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E1F6D-8C7E-962F-45A0-713D19FE4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388620</xdr:colOff>
      <xdr:row>15</xdr:row>
      <xdr:rowOff>110490</xdr:rowOff>
    </xdr:from>
    <xdr:to>
      <xdr:col>19</xdr:col>
      <xdr:colOff>83820</xdr:colOff>
      <xdr:row>32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36EDF-24C4-FAB1-D45C-2965ABBE4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579120</xdr:colOff>
      <xdr:row>34</xdr:row>
      <xdr:rowOff>95250</xdr:rowOff>
    </xdr:from>
    <xdr:to>
      <xdr:col>19</xdr:col>
      <xdr:colOff>274320</xdr:colOff>
      <xdr:row>49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B725D9-FDEF-AC74-710B-0618A381A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579120</xdr:colOff>
      <xdr:row>50</xdr:row>
      <xdr:rowOff>156210</xdr:rowOff>
    </xdr:from>
    <xdr:to>
      <xdr:col>19</xdr:col>
      <xdr:colOff>381000</xdr:colOff>
      <xdr:row>65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21EB39-19EB-E034-2218-2F7771C59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205740</xdr:colOff>
      <xdr:row>0</xdr:row>
      <xdr:rowOff>0</xdr:rowOff>
    </xdr:from>
    <xdr:to>
      <xdr:col>17</xdr:col>
      <xdr:colOff>510540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39E2E-D09B-8392-8496-44947488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297180</xdr:colOff>
      <xdr:row>15</xdr:row>
      <xdr:rowOff>125730</xdr:rowOff>
    </xdr:from>
    <xdr:to>
      <xdr:col>17</xdr:col>
      <xdr:colOff>601980</xdr:colOff>
      <xdr:row>30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5A0D17-6982-A9C5-4F2F-62A76DE2B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495300</xdr:colOff>
      <xdr:row>31</xdr:row>
      <xdr:rowOff>41910</xdr:rowOff>
    </xdr:from>
    <xdr:to>
      <xdr:col>18</xdr:col>
      <xdr:colOff>190500</xdr:colOff>
      <xdr:row>47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162AFD-D712-7549-9237-E6E966813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30480</xdr:colOff>
      <xdr:row>47</xdr:row>
      <xdr:rowOff>156210</xdr:rowOff>
    </xdr:from>
    <xdr:to>
      <xdr:col>18</xdr:col>
      <xdr:colOff>335280</xdr:colOff>
      <xdr:row>62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041DF8-5B9D-0D86-AEBA-D83A502D7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53340</xdr:colOff>
      <xdr:row>63</xdr:row>
      <xdr:rowOff>80010</xdr:rowOff>
    </xdr:from>
    <xdr:to>
      <xdr:col>19</xdr:col>
      <xdr:colOff>83820</xdr:colOff>
      <xdr:row>78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DC8045-11CC-1B5B-F544-E15376856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297180</xdr:colOff>
      <xdr:row>0</xdr:row>
      <xdr:rowOff>34290</xdr:rowOff>
    </xdr:from>
    <xdr:to>
      <xdr:col>18</xdr:col>
      <xdr:colOff>601980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159CD-18E8-2034-3C35-C2F862B14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510540</xdr:colOff>
      <xdr:row>15</xdr:row>
      <xdr:rowOff>118110</xdr:rowOff>
    </xdr:from>
    <xdr:to>
      <xdr:col>19</xdr:col>
      <xdr:colOff>205740</xdr:colOff>
      <xdr:row>30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BE502-DFBE-FFAA-C25B-AE1FCE598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32</xdr:row>
      <xdr:rowOff>11430</xdr:rowOff>
    </xdr:from>
    <xdr:to>
      <xdr:col>19</xdr:col>
      <xdr:colOff>533400</xdr:colOff>
      <xdr:row>47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731355-2231-8C76-4564-D1C6934EC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480060</xdr:colOff>
      <xdr:row>47</xdr:row>
      <xdr:rowOff>72390</xdr:rowOff>
    </xdr:from>
    <xdr:to>
      <xdr:col>20</xdr:col>
      <xdr:colOff>175260</xdr:colOff>
      <xdr:row>62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1DC82F-A163-6687-A47B-77E3C9B07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91440</xdr:colOff>
      <xdr:row>62</xdr:row>
      <xdr:rowOff>179070</xdr:rowOff>
    </xdr:from>
    <xdr:to>
      <xdr:col>20</xdr:col>
      <xdr:colOff>358140</xdr:colOff>
      <xdr:row>77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1CE3CC-AD60-0459-C4C0-0B1CE0D6F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0</xdr:row>
      <xdr:rowOff>64770</xdr:rowOff>
    </xdr:from>
    <xdr:to>
      <xdr:col>19</xdr:col>
      <xdr:colOff>91440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E7193-4807-CCE1-C1C5-FC1995AAB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449580</xdr:colOff>
      <xdr:row>15</xdr:row>
      <xdr:rowOff>140970</xdr:rowOff>
    </xdr:from>
    <xdr:to>
      <xdr:col>19</xdr:col>
      <xdr:colOff>144780</xdr:colOff>
      <xdr:row>30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C759B-FFD6-1C65-1EF3-8F3CB233F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472440</xdr:colOff>
      <xdr:row>31</xdr:row>
      <xdr:rowOff>57150</xdr:rowOff>
    </xdr:from>
    <xdr:to>
      <xdr:col>19</xdr:col>
      <xdr:colOff>167640</xdr:colOff>
      <xdr:row>46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10812C-ACE9-D439-60F2-B4D4BBFD1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510540</xdr:colOff>
      <xdr:row>47</xdr:row>
      <xdr:rowOff>3810</xdr:rowOff>
    </xdr:from>
    <xdr:to>
      <xdr:col>19</xdr:col>
      <xdr:colOff>205740</xdr:colOff>
      <xdr:row>62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B0ADD8-6186-E768-CDC4-DC9D75EF9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441960</xdr:colOff>
      <xdr:row>62</xdr:row>
      <xdr:rowOff>87630</xdr:rowOff>
    </xdr:from>
    <xdr:to>
      <xdr:col>19</xdr:col>
      <xdr:colOff>594360</xdr:colOff>
      <xdr:row>77</xdr:row>
      <xdr:rowOff>87630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DE38BB-8731-6E39-FD90-D7A0C3133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5BFF-8F01-453C-9FC6-A9C8A17BA774}">
  <dimension ref="A1:H1520"/>
  <sheetViews>
    <sheetView workbookViewId="0">
      <selection activeCell="E13" sqref="E13"/>
    </sheetView>
  </sheetViews>
  <sheetFormatPr defaultRowHeight="14.4" x14ac:dyDescent="0.3"/>
  <cols>
    <col min="1" max="1" width="17.88671875" bestFit="1" customWidth="1"/>
    <col min="2" max="3" width="14.109375" style="1" bestFit="1" customWidth="1"/>
    <col min="4" max="4" width="14.33203125" style="1" bestFit="1" customWidth="1"/>
    <col min="5" max="5" width="28.21875" style="1" bestFit="1" customWidth="1"/>
    <col min="6" max="6" width="14.33203125" style="1" bestFit="1" customWidth="1"/>
    <col min="7" max="7" width="15.109375" bestFit="1" customWidth="1"/>
    <col min="8" max="8" width="5.21875" bestFit="1" customWidth="1"/>
  </cols>
  <sheetData>
    <row r="1" spans="1:8" x14ac:dyDescent="0.3">
      <c r="A1" s="8" t="s">
        <v>0</v>
      </c>
      <c r="B1" s="8" t="s">
        <v>41</v>
      </c>
      <c r="C1" s="8" t="s">
        <v>42</v>
      </c>
      <c r="D1" s="4" t="s">
        <v>33</v>
      </c>
      <c r="E1" s="8" t="s">
        <v>43</v>
      </c>
      <c r="F1" s="4" t="s">
        <v>34</v>
      </c>
      <c r="G1" s="4" t="s">
        <v>31</v>
      </c>
      <c r="H1" s="4" t="s">
        <v>32</v>
      </c>
    </row>
    <row r="2" spans="1:8" x14ac:dyDescent="0.3">
      <c r="A2" s="7" t="s">
        <v>2</v>
      </c>
      <c r="B2" s="9">
        <v>95.316002199999957</v>
      </c>
      <c r="C2" s="9">
        <v>219.88748750000011</v>
      </c>
      <c r="D2" s="6">
        <f>(C2-B2)/B2</f>
        <v>1.3069314954965685</v>
      </c>
      <c r="E2" s="9">
        <v>144.087615</v>
      </c>
      <c r="F2" s="6">
        <f>(E2-C2)/C2</f>
        <v>-0.34472117245871059</v>
      </c>
      <c r="G2" s="7"/>
      <c r="H2" s="7"/>
    </row>
    <row r="3" spans="1:8" x14ac:dyDescent="0.3">
      <c r="A3" s="7" t="s">
        <v>18</v>
      </c>
      <c r="B3" s="9">
        <v>34.794649999999997</v>
      </c>
      <c r="C3" s="9">
        <v>29.751044100000001</v>
      </c>
      <c r="D3" s="6">
        <f t="shared" ref="D3:D5" si="0">(C3-B3)/B3</f>
        <v>-0.14495348853918624</v>
      </c>
      <c r="E3" s="9">
        <v>30.524850499999999</v>
      </c>
      <c r="F3" s="6">
        <f t="shared" ref="F3:F5" si="1">(E3-C3)/C3</f>
        <v>2.6009386339486417E-2</v>
      </c>
      <c r="G3" s="7"/>
      <c r="H3" s="7"/>
    </row>
    <row r="4" spans="1:8" x14ac:dyDescent="0.3">
      <c r="A4" s="7" t="s">
        <v>10</v>
      </c>
      <c r="B4" s="9">
        <v>3.9555778000000004</v>
      </c>
      <c r="C4" s="9">
        <v>6.8720584000000011</v>
      </c>
      <c r="D4" s="6">
        <f t="shared" si="0"/>
        <v>0.73730836491194796</v>
      </c>
      <c r="E4" s="9">
        <v>7.2927044999999993</v>
      </c>
      <c r="F4" s="6">
        <f t="shared" si="1"/>
        <v>6.1211077600853633E-2</v>
      </c>
      <c r="G4" s="7"/>
      <c r="H4" s="7"/>
    </row>
    <row r="5" spans="1:8" x14ac:dyDescent="0.3">
      <c r="A5" s="17" t="s">
        <v>1</v>
      </c>
      <c r="B5" s="18">
        <v>134.06622999999993</v>
      </c>
      <c r="C5" s="18">
        <v>256.51059000000009</v>
      </c>
      <c r="D5" s="16">
        <f t="shared" si="0"/>
        <v>0.91331247249960124</v>
      </c>
      <c r="E5" s="18">
        <v>181.90517</v>
      </c>
      <c r="F5" s="16">
        <f t="shared" si="1"/>
        <v>-0.29084732914925682</v>
      </c>
      <c r="G5" s="17"/>
      <c r="H5" s="17"/>
    </row>
    <row r="6" spans="1:8" x14ac:dyDescent="0.3">
      <c r="B6"/>
      <c r="C6"/>
      <c r="D6"/>
      <c r="E6"/>
      <c r="F6"/>
    </row>
    <row r="7" spans="1:8" x14ac:dyDescent="0.3">
      <c r="B7"/>
      <c r="C7"/>
      <c r="D7"/>
      <c r="E7"/>
      <c r="F7"/>
    </row>
    <row r="8" spans="1:8" x14ac:dyDescent="0.3">
      <c r="A8" s="10" t="s">
        <v>37</v>
      </c>
      <c r="B8"/>
      <c r="C8"/>
      <c r="D8"/>
      <c r="E8"/>
      <c r="F8"/>
    </row>
    <row r="9" spans="1:8" x14ac:dyDescent="0.3">
      <c r="A9" s="8" t="s">
        <v>0</v>
      </c>
      <c r="B9" s="8" t="s">
        <v>41</v>
      </c>
      <c r="C9" s="8" t="s">
        <v>42</v>
      </c>
      <c r="D9" s="4" t="s">
        <v>33</v>
      </c>
      <c r="E9" s="8" t="s">
        <v>43</v>
      </c>
      <c r="F9" s="4" t="s">
        <v>34</v>
      </c>
      <c r="G9" s="4" t="s">
        <v>31</v>
      </c>
      <c r="H9" s="4" t="s">
        <v>32</v>
      </c>
    </row>
    <row r="10" spans="1:8" x14ac:dyDescent="0.3">
      <c r="A10" s="7" t="s">
        <v>4</v>
      </c>
      <c r="B10" s="9">
        <v>61.321669200000002</v>
      </c>
      <c r="C10" s="9">
        <v>187.40904260000002</v>
      </c>
      <c r="D10" s="6">
        <f t="shared" ref="D10:D24" si="2">(C10-B10)/B10</f>
        <v>2.0561634255057104</v>
      </c>
      <c r="E10" s="9">
        <v>55.676690599999993</v>
      </c>
      <c r="F10" s="6">
        <f t="shared" ref="F10:F24" si="3">(E10-C10)/C10</f>
        <v>-0.70291353166541393</v>
      </c>
      <c r="G10" s="7"/>
      <c r="H10" s="7"/>
    </row>
    <row r="11" spans="1:8" x14ac:dyDescent="0.3">
      <c r="A11" s="7" t="s">
        <v>8</v>
      </c>
      <c r="B11" s="9">
        <v>18.910055999999997</v>
      </c>
      <c r="C11" s="9">
        <v>3.4702694999999997</v>
      </c>
      <c r="D11" s="6">
        <f t="shared" si="2"/>
        <v>-0.81648549850936447</v>
      </c>
      <c r="E11" s="9">
        <v>27.952052399999996</v>
      </c>
      <c r="F11" s="6">
        <f t="shared" si="3"/>
        <v>7.0547209373796465</v>
      </c>
      <c r="G11" s="7"/>
      <c r="H11" s="7"/>
    </row>
    <row r="12" spans="1:8" x14ac:dyDescent="0.3">
      <c r="A12" s="7" t="s">
        <v>3</v>
      </c>
      <c r="B12" s="9">
        <v>2.9528775999999999</v>
      </c>
      <c r="C12" s="9">
        <v>2.9588726999999997</v>
      </c>
      <c r="D12" s="6">
        <f t="shared" si="2"/>
        <v>2.0302568585977994E-3</v>
      </c>
      <c r="E12" s="9">
        <v>25.3466284</v>
      </c>
      <c r="F12" s="6">
        <f t="shared" si="3"/>
        <v>7.5663125689726369</v>
      </c>
      <c r="G12" s="7"/>
      <c r="H12" s="7"/>
    </row>
    <row r="13" spans="1:8" x14ac:dyDescent="0.3">
      <c r="A13" s="7" t="s">
        <v>5</v>
      </c>
      <c r="B13" s="9">
        <v>5.2976221999999993</v>
      </c>
      <c r="C13" s="9">
        <v>14.941154400000002</v>
      </c>
      <c r="D13" s="6">
        <f t="shared" si="2"/>
        <v>1.8203510624068293</v>
      </c>
      <c r="E13" s="9">
        <v>23.929586499999999</v>
      </c>
      <c r="F13" s="6">
        <f t="shared" si="3"/>
        <v>0.6015888638430773</v>
      </c>
      <c r="G13" s="7"/>
      <c r="H13" s="7"/>
    </row>
    <row r="14" spans="1:8" x14ac:dyDescent="0.3">
      <c r="A14" s="7" t="s">
        <v>13</v>
      </c>
      <c r="B14" s="9">
        <v>1.6074060000000001</v>
      </c>
      <c r="C14" s="9">
        <v>1.6719783000000001</v>
      </c>
      <c r="D14" s="6">
        <f t="shared" si="2"/>
        <v>4.0171742546687039E-2</v>
      </c>
      <c r="E14" s="9">
        <v>2.8061151</v>
      </c>
      <c r="F14" s="6">
        <f t="shared" si="3"/>
        <v>0.67832028681233469</v>
      </c>
      <c r="G14" s="7"/>
      <c r="H14" s="7"/>
    </row>
    <row r="15" spans="1:8" x14ac:dyDescent="0.3">
      <c r="A15" s="7" t="s">
        <v>9</v>
      </c>
      <c r="B15" s="9">
        <v>0.89620570000000011</v>
      </c>
      <c r="C15" s="9">
        <v>2.3209811</v>
      </c>
      <c r="D15" s="6">
        <f t="shared" si="2"/>
        <v>1.5897861394990009</v>
      </c>
      <c r="E15" s="9">
        <v>2.3359673999999999</v>
      </c>
      <c r="F15" s="6">
        <f t="shared" si="3"/>
        <v>6.4568815316936E-3</v>
      </c>
      <c r="G15" s="7"/>
      <c r="H15" s="7"/>
    </row>
    <row r="16" spans="1:8" x14ac:dyDescent="0.3">
      <c r="A16" s="7" t="s">
        <v>6</v>
      </c>
      <c r="B16" s="9">
        <v>1.3754898999999998</v>
      </c>
      <c r="C16" s="9">
        <v>3.9602535999999993</v>
      </c>
      <c r="D16" s="6">
        <f t="shared" si="2"/>
        <v>1.8791586183220974</v>
      </c>
      <c r="E16" s="9">
        <v>1.9251762999999997</v>
      </c>
      <c r="F16" s="6">
        <f t="shared" si="3"/>
        <v>-0.51387550029624363</v>
      </c>
      <c r="G16" s="7"/>
      <c r="H16" s="7"/>
    </row>
    <row r="17" spans="1:8" x14ac:dyDescent="0.3">
      <c r="A17" s="7" t="s">
        <v>16</v>
      </c>
      <c r="B17" s="9">
        <v>0.72104899999999994</v>
      </c>
      <c r="C17" s="9">
        <v>1.557051</v>
      </c>
      <c r="D17" s="6">
        <f t="shared" si="2"/>
        <v>1.1594246715549152</v>
      </c>
      <c r="E17" s="9">
        <v>1.3375999999999999</v>
      </c>
      <c r="F17" s="6">
        <f t="shared" si="3"/>
        <v>-0.14094014903814972</v>
      </c>
      <c r="G17" s="7"/>
      <c r="H17" s="7"/>
    </row>
    <row r="18" spans="1:8" x14ac:dyDescent="0.3">
      <c r="A18" s="7" t="s">
        <v>24</v>
      </c>
      <c r="B18" s="9">
        <v>0</v>
      </c>
      <c r="C18" s="9">
        <v>0</v>
      </c>
      <c r="D18" s="6" t="e">
        <f t="shared" si="2"/>
        <v>#DIV/0!</v>
      </c>
      <c r="E18" s="9">
        <v>0.98799999999999999</v>
      </c>
      <c r="F18" s="6" t="e">
        <f t="shared" si="3"/>
        <v>#DIV/0!</v>
      </c>
      <c r="G18" s="7"/>
      <c r="H18" s="7"/>
    </row>
    <row r="19" spans="1:8" x14ac:dyDescent="0.3">
      <c r="A19" s="7" t="s">
        <v>20</v>
      </c>
      <c r="B19" s="9">
        <v>3.1350000000000003E-2</v>
      </c>
      <c r="C19" s="9">
        <v>0.59565000000000001</v>
      </c>
      <c r="D19" s="6">
        <f t="shared" si="2"/>
        <v>18</v>
      </c>
      <c r="E19" s="9">
        <v>0.79419679999999993</v>
      </c>
      <c r="F19" s="6">
        <f t="shared" si="3"/>
        <v>0.33332796105095258</v>
      </c>
      <c r="G19" s="7"/>
      <c r="H19" s="7"/>
    </row>
    <row r="20" spans="1:8" x14ac:dyDescent="0.3">
      <c r="A20" s="7" t="s">
        <v>7</v>
      </c>
      <c r="B20" s="9">
        <v>0.22610130000000001</v>
      </c>
      <c r="C20" s="9">
        <v>-0.13632600000000003</v>
      </c>
      <c r="D20" s="6">
        <f t="shared" si="2"/>
        <v>-1.6029421325750892</v>
      </c>
      <c r="E20" s="9">
        <v>0.46550000000000002</v>
      </c>
      <c r="F20" s="6">
        <f t="shared" si="3"/>
        <v>-4.4146090987779294</v>
      </c>
      <c r="G20" s="7"/>
      <c r="H20" s="7"/>
    </row>
    <row r="21" spans="1:8" x14ac:dyDescent="0.3">
      <c r="A21" s="7" t="s">
        <v>12</v>
      </c>
      <c r="B21" s="9">
        <v>0.33976699999999999</v>
      </c>
      <c r="C21" s="9">
        <v>0.46289259999999993</v>
      </c>
      <c r="D21" s="6">
        <f t="shared" si="2"/>
        <v>0.3623824562126397</v>
      </c>
      <c r="E21" s="9">
        <v>0.3733515</v>
      </c>
      <c r="F21" s="6">
        <f t="shared" si="3"/>
        <v>-0.19343817550766623</v>
      </c>
      <c r="G21" s="7"/>
      <c r="H21" s="7"/>
    </row>
    <row r="22" spans="1:8" x14ac:dyDescent="0.3">
      <c r="A22" s="7" t="s">
        <v>17</v>
      </c>
      <c r="B22" s="9">
        <v>1.1709083</v>
      </c>
      <c r="C22" s="9">
        <v>0.63335070000000004</v>
      </c>
      <c r="D22" s="6">
        <f t="shared" si="2"/>
        <v>-0.45909453370515863</v>
      </c>
      <c r="E22" s="9">
        <v>0.15675</v>
      </c>
      <c r="F22" s="6">
        <f t="shared" si="3"/>
        <v>-0.7525067865244327</v>
      </c>
      <c r="G22" s="7"/>
      <c r="H22" s="7"/>
    </row>
    <row r="23" spans="1:8" x14ac:dyDescent="0.3">
      <c r="A23" s="7" t="s">
        <v>21</v>
      </c>
      <c r="B23" s="9">
        <v>0.46550000000000002</v>
      </c>
      <c r="C23" s="9">
        <v>4.2317000000000007E-2</v>
      </c>
      <c r="D23" s="6">
        <f t="shared" si="2"/>
        <v>-0.90909344790547797</v>
      </c>
      <c r="E23" s="9">
        <v>0</v>
      </c>
      <c r="F23" s="6">
        <f t="shared" si="3"/>
        <v>-1</v>
      </c>
      <c r="G23" s="7"/>
      <c r="H23" s="7"/>
    </row>
    <row r="24" spans="1:8" x14ac:dyDescent="0.3">
      <c r="A24" s="17" t="s">
        <v>1</v>
      </c>
      <c r="B24" s="18">
        <v>95.3160022</v>
      </c>
      <c r="C24" s="18">
        <v>219.88748749999996</v>
      </c>
      <c r="D24" s="16">
        <f t="shared" si="2"/>
        <v>1.3069314954965658</v>
      </c>
      <c r="E24" s="18">
        <v>144.087615</v>
      </c>
      <c r="F24" s="16">
        <f t="shared" si="3"/>
        <v>-0.34472117245871015</v>
      </c>
      <c r="G24" s="17"/>
      <c r="H24" s="17"/>
    </row>
    <row r="25" spans="1:8" x14ac:dyDescent="0.3">
      <c r="B25"/>
      <c r="C25"/>
      <c r="D25"/>
      <c r="E25"/>
      <c r="F25"/>
    </row>
    <row r="26" spans="1:8" x14ac:dyDescent="0.3">
      <c r="A26" s="10" t="s">
        <v>38</v>
      </c>
      <c r="B26"/>
      <c r="C26"/>
      <c r="D26"/>
      <c r="E26"/>
      <c r="F26"/>
    </row>
    <row r="27" spans="1:8" x14ac:dyDescent="0.3">
      <c r="A27" s="8" t="s">
        <v>0</v>
      </c>
      <c r="B27" s="8" t="s">
        <v>41</v>
      </c>
      <c r="C27" s="8" t="s">
        <v>42</v>
      </c>
      <c r="D27" s="4" t="s">
        <v>33</v>
      </c>
      <c r="E27" s="8" t="s">
        <v>43</v>
      </c>
      <c r="F27" s="4" t="s">
        <v>34</v>
      </c>
      <c r="G27" s="4" t="s">
        <v>31</v>
      </c>
      <c r="H27" s="4" t="s">
        <v>32</v>
      </c>
    </row>
    <row r="28" spans="1:8" x14ac:dyDescent="0.3">
      <c r="A28" s="7" t="s">
        <v>14</v>
      </c>
      <c r="B28" s="9">
        <v>2.4292132</v>
      </c>
      <c r="C28" s="9">
        <v>3.7410027000000001</v>
      </c>
      <c r="D28" s="6">
        <f t="shared" ref="D28:D34" si="4">(C28-B28)/B28</f>
        <v>0.54000591631891359</v>
      </c>
      <c r="E28" s="9">
        <v>4.1760009999999994</v>
      </c>
      <c r="F28" s="6">
        <f t="shared" ref="F28:F34" si="5">(E28-C28)/C28</f>
        <v>0.11627853142153553</v>
      </c>
      <c r="G28" s="7"/>
      <c r="H28" s="7"/>
    </row>
    <row r="29" spans="1:8" x14ac:dyDescent="0.3">
      <c r="A29" s="7" t="s">
        <v>11</v>
      </c>
      <c r="B29" s="9">
        <v>1.1016054000000002</v>
      </c>
      <c r="C29" s="9">
        <v>1.8828</v>
      </c>
      <c r="D29" s="6">
        <f t="shared" si="4"/>
        <v>0.70914194865057822</v>
      </c>
      <c r="E29" s="9">
        <v>1.4166010999999998</v>
      </c>
      <c r="F29" s="6">
        <f t="shared" si="5"/>
        <v>-0.24760935840237952</v>
      </c>
      <c r="G29" s="7"/>
      <c r="H29" s="7"/>
    </row>
    <row r="30" spans="1:8" x14ac:dyDescent="0.3">
      <c r="A30" s="7" t="s">
        <v>23</v>
      </c>
      <c r="B30" s="9">
        <v>5.5800000000000002E-2</v>
      </c>
      <c r="C30" s="9">
        <v>0.52173000000000003</v>
      </c>
      <c r="D30" s="6">
        <f t="shared" si="4"/>
        <v>8.35</v>
      </c>
      <c r="E30" s="9">
        <v>0.66960050000000004</v>
      </c>
      <c r="F30" s="6">
        <f t="shared" si="5"/>
        <v>0.28342341824315259</v>
      </c>
      <c r="G30" s="7"/>
      <c r="H30" s="7"/>
    </row>
    <row r="31" spans="1:8" x14ac:dyDescent="0.3">
      <c r="A31" s="7" t="s">
        <v>5</v>
      </c>
      <c r="B31" s="9">
        <v>0</v>
      </c>
      <c r="C31" s="9">
        <v>0.18584999999999999</v>
      </c>
      <c r="D31" s="6" t="e">
        <f t="shared" si="4"/>
        <v>#DIV/0!</v>
      </c>
      <c r="E31" s="9">
        <v>0.59850000000000003</v>
      </c>
      <c r="F31" s="6">
        <f t="shared" si="5"/>
        <v>2.2203389830508482</v>
      </c>
      <c r="G31" s="7"/>
      <c r="H31" s="7"/>
    </row>
    <row r="32" spans="1:8" x14ac:dyDescent="0.3">
      <c r="A32" s="7" t="s">
        <v>22</v>
      </c>
      <c r="B32" s="9">
        <v>0.28957919999999998</v>
      </c>
      <c r="C32" s="9">
        <v>0.54067569999999998</v>
      </c>
      <c r="D32" s="6">
        <f t="shared" si="4"/>
        <v>0.86710820390414789</v>
      </c>
      <c r="E32" s="9">
        <v>0.43200190000000005</v>
      </c>
      <c r="F32" s="6">
        <f t="shared" si="5"/>
        <v>-0.20099627188719585</v>
      </c>
      <c r="G32" s="7"/>
      <c r="H32" s="7"/>
    </row>
    <row r="33" spans="1:8" x14ac:dyDescent="0.3">
      <c r="A33" s="7" t="s">
        <v>4</v>
      </c>
      <c r="B33" s="9">
        <v>7.9380000000000006E-2</v>
      </c>
      <c r="C33" s="9">
        <v>0</v>
      </c>
      <c r="D33" s="6">
        <f t="shared" si="4"/>
        <v>-1</v>
      </c>
      <c r="E33" s="9">
        <v>0</v>
      </c>
      <c r="F33" s="6" t="e">
        <f t="shared" si="5"/>
        <v>#DIV/0!</v>
      </c>
      <c r="G33" s="7"/>
      <c r="H33" s="7"/>
    </row>
    <row r="34" spans="1:8" x14ac:dyDescent="0.3">
      <c r="A34" s="17" t="s">
        <v>1</v>
      </c>
      <c r="B34" s="18">
        <v>3.9555778000000004</v>
      </c>
      <c r="C34" s="18">
        <v>6.8720584000000011</v>
      </c>
      <c r="D34" s="16">
        <f t="shared" si="4"/>
        <v>0.73730836491194796</v>
      </c>
      <c r="E34" s="18">
        <v>7.292704500000001</v>
      </c>
      <c r="F34" s="16">
        <f t="shared" si="5"/>
        <v>6.121107760085389E-2</v>
      </c>
      <c r="G34" s="17"/>
      <c r="H34" s="17"/>
    </row>
    <row r="35" spans="1:8" x14ac:dyDescent="0.3">
      <c r="B35"/>
      <c r="C35"/>
      <c r="D35"/>
      <c r="E35"/>
      <c r="F35"/>
    </row>
    <row r="36" spans="1:8" x14ac:dyDescent="0.3">
      <c r="A36" s="10" t="s">
        <v>39</v>
      </c>
      <c r="B36"/>
      <c r="C36"/>
      <c r="D36"/>
      <c r="E36"/>
      <c r="F36"/>
    </row>
    <row r="37" spans="1:8" x14ac:dyDescent="0.3">
      <c r="A37" s="8" t="s">
        <v>0</v>
      </c>
      <c r="B37" s="8" t="s">
        <v>41</v>
      </c>
      <c r="C37" s="8" t="s">
        <v>42</v>
      </c>
      <c r="D37" s="4" t="s">
        <v>33</v>
      </c>
      <c r="E37" s="8" t="s">
        <v>43</v>
      </c>
      <c r="F37" s="4" t="s">
        <v>34</v>
      </c>
      <c r="G37" s="4" t="s">
        <v>31</v>
      </c>
      <c r="H37" s="4" t="s">
        <v>32</v>
      </c>
    </row>
    <row r="38" spans="1:8" x14ac:dyDescent="0.3">
      <c r="A38" s="7" t="s">
        <v>15</v>
      </c>
      <c r="B38" s="9">
        <v>22.996880000000001</v>
      </c>
      <c r="C38" s="9">
        <v>21.53088</v>
      </c>
      <c r="D38" s="6">
        <f t="shared" ref="D38:D41" si="6">(C38-B38)/B38</f>
        <v>-6.3747777959444973E-2</v>
      </c>
      <c r="E38" s="9">
        <v>13.055490499999998</v>
      </c>
      <c r="F38" s="6">
        <f t="shared" ref="F38:F41" si="7">(E38-C38)/C38</f>
        <v>-0.39363878763896332</v>
      </c>
      <c r="G38" s="7"/>
      <c r="H38" s="7"/>
    </row>
    <row r="39" spans="1:8" x14ac:dyDescent="0.3">
      <c r="A39" s="7" t="s">
        <v>26</v>
      </c>
      <c r="B39" s="9">
        <v>2.5462899999999999</v>
      </c>
      <c r="C39" s="9">
        <v>0</v>
      </c>
      <c r="D39" s="6">
        <f t="shared" si="6"/>
        <v>-1</v>
      </c>
      <c r="E39" s="9">
        <v>9.8085599999999999</v>
      </c>
      <c r="F39" s="6" t="e">
        <f t="shared" si="7"/>
        <v>#DIV/0!</v>
      </c>
      <c r="G39" s="7"/>
      <c r="H39" s="7"/>
    </row>
    <row r="40" spans="1:8" x14ac:dyDescent="0.3">
      <c r="A40" s="7" t="s">
        <v>19</v>
      </c>
      <c r="B40" s="9">
        <v>9.2514800000000008</v>
      </c>
      <c r="C40" s="9">
        <v>8.2201640999999999</v>
      </c>
      <c r="D40" s="6">
        <f t="shared" si="6"/>
        <v>-0.11147577468686101</v>
      </c>
      <c r="E40" s="9">
        <v>7.6608000000000001</v>
      </c>
      <c r="F40" s="6">
        <f t="shared" si="7"/>
        <v>-6.8047802111395786E-2</v>
      </c>
      <c r="G40" s="7"/>
      <c r="H40" s="7"/>
    </row>
    <row r="41" spans="1:8" x14ac:dyDescent="0.3">
      <c r="A41" s="17" t="s">
        <v>1</v>
      </c>
      <c r="B41" s="18">
        <v>34.794649999999997</v>
      </c>
      <c r="C41" s="18">
        <v>29.751044100000001</v>
      </c>
      <c r="D41" s="16">
        <f t="shared" si="6"/>
        <v>-0.14495348853918624</v>
      </c>
      <c r="E41" s="18">
        <v>30.524850499999999</v>
      </c>
      <c r="F41" s="16">
        <f t="shared" si="7"/>
        <v>2.6009386339486417E-2</v>
      </c>
      <c r="G41" s="17"/>
      <c r="H41" s="17"/>
    </row>
    <row r="42" spans="1:8" x14ac:dyDescent="0.3">
      <c r="B42"/>
      <c r="C42"/>
      <c r="D42"/>
      <c r="E42"/>
      <c r="F42"/>
    </row>
    <row r="43" spans="1:8" x14ac:dyDescent="0.3">
      <c r="B43"/>
      <c r="C43"/>
      <c r="D43"/>
      <c r="E43"/>
      <c r="F43"/>
    </row>
    <row r="44" spans="1:8" x14ac:dyDescent="0.3">
      <c r="B44"/>
      <c r="C44"/>
      <c r="D44"/>
      <c r="E44"/>
      <c r="F44"/>
    </row>
    <row r="45" spans="1:8" x14ac:dyDescent="0.3">
      <c r="B45"/>
      <c r="C45"/>
      <c r="D45"/>
      <c r="E45"/>
      <c r="F45"/>
    </row>
    <row r="46" spans="1:8" x14ac:dyDescent="0.3">
      <c r="B46"/>
      <c r="C46"/>
      <c r="D46"/>
      <c r="E46"/>
      <c r="F46"/>
    </row>
    <row r="47" spans="1:8" x14ac:dyDescent="0.3">
      <c r="B47"/>
      <c r="C47"/>
      <c r="D47"/>
      <c r="E47"/>
      <c r="F47"/>
    </row>
    <row r="48" spans="1:8" x14ac:dyDescent="0.3">
      <c r="B48"/>
      <c r="C48"/>
      <c r="D48"/>
      <c r="E48"/>
      <c r="F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762E-940D-4922-B63B-173D044801FD}">
  <dimension ref="A1:J38"/>
  <sheetViews>
    <sheetView workbookViewId="0">
      <selection activeCell="D35" sqref="D35"/>
    </sheetView>
  </sheetViews>
  <sheetFormatPr defaultRowHeight="14.4" x14ac:dyDescent="0.3"/>
  <cols>
    <col min="1" max="1" width="12.5546875" bestFit="1" customWidth="1"/>
    <col min="2" max="3" width="14.109375" bestFit="1" customWidth="1"/>
    <col min="4" max="4" width="14.33203125" bestFit="1" customWidth="1"/>
    <col min="5" max="5" width="28.2187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35</v>
      </c>
      <c r="E1" s="4" t="s">
        <v>43</v>
      </c>
      <c r="F1" s="4" t="s">
        <v>36</v>
      </c>
      <c r="G1" s="4" t="s">
        <v>31</v>
      </c>
      <c r="H1" s="4" t="s">
        <v>32</v>
      </c>
    </row>
    <row r="2" spans="1:10" x14ac:dyDescent="0.3">
      <c r="A2" s="5" t="s">
        <v>18</v>
      </c>
      <c r="B2" s="9">
        <v>15.7805</v>
      </c>
      <c r="C2" s="9">
        <v>17.997119999999999</v>
      </c>
      <c r="D2" s="6">
        <f>(C2-B2)/ABS(B2)</f>
        <v>0.14046576470960989</v>
      </c>
      <c r="E2" s="9">
        <v>12.812216200000002</v>
      </c>
      <c r="F2" s="6">
        <f>(E2-C2)/ABS(C2)</f>
        <v>-0.28809630652015422</v>
      </c>
      <c r="G2" s="7"/>
      <c r="H2" s="7"/>
      <c r="J2">
        <v>100000</v>
      </c>
    </row>
    <row r="3" spans="1:10" x14ac:dyDescent="0.3">
      <c r="A3" s="5" t="s">
        <v>2</v>
      </c>
      <c r="B3" s="9">
        <v>3.9827554000000012</v>
      </c>
      <c r="C3" s="9">
        <v>3.9058090000000001</v>
      </c>
      <c r="D3" s="6">
        <f t="shared" ref="D3:D5" si="0">(C3-B3)/ABS(B3)</f>
        <v>-1.9319890947860133E-2</v>
      </c>
      <c r="E3" s="9">
        <v>5.9487218000000004</v>
      </c>
      <c r="F3" s="6">
        <f>(E3-C3)/ABS(C3)</f>
        <v>0.52304472645743816</v>
      </c>
      <c r="G3" s="7"/>
      <c r="H3" s="7"/>
    </row>
    <row r="4" spans="1:10" x14ac:dyDescent="0.3">
      <c r="A4" s="5" t="s">
        <v>10</v>
      </c>
      <c r="B4" s="9">
        <v>0.25583460000000002</v>
      </c>
      <c r="C4" s="9">
        <v>0.11791099999999999</v>
      </c>
      <c r="D4" s="6">
        <f t="shared" si="0"/>
        <v>-0.53911237963903247</v>
      </c>
      <c r="E4" s="9">
        <v>0.26100200000000001</v>
      </c>
      <c r="F4" s="6">
        <f>(E4-C4)/ABS(C4)</f>
        <v>1.213550898559083</v>
      </c>
      <c r="G4" s="7"/>
      <c r="H4" s="7"/>
    </row>
    <row r="5" spans="1:10" x14ac:dyDescent="0.3">
      <c r="A5" s="15" t="s">
        <v>1</v>
      </c>
      <c r="B5" s="18">
        <v>20.019089999999998</v>
      </c>
      <c r="C5" s="18">
        <v>22.02084</v>
      </c>
      <c r="D5" s="16">
        <f t="shared" si="0"/>
        <v>9.9992057581038962E-2</v>
      </c>
      <c r="E5" s="18">
        <v>19.021940000000001</v>
      </c>
      <c r="F5" s="16">
        <f>(E5-C5)/ABS(C5)</f>
        <v>-0.13618463237551334</v>
      </c>
      <c r="G5" s="17"/>
      <c r="H5" s="17"/>
    </row>
    <row r="7" spans="1:10" x14ac:dyDescent="0.3">
      <c r="A7" s="10" t="s">
        <v>37</v>
      </c>
    </row>
    <row r="8" spans="1:10" x14ac:dyDescent="0.3">
      <c r="A8" s="4" t="s">
        <v>0</v>
      </c>
      <c r="B8" s="4" t="s">
        <v>41</v>
      </c>
      <c r="C8" s="4" t="s">
        <v>42</v>
      </c>
      <c r="D8" s="4" t="s">
        <v>35</v>
      </c>
      <c r="E8" s="4" t="s">
        <v>43</v>
      </c>
      <c r="F8" s="4" t="s">
        <v>36</v>
      </c>
      <c r="G8" s="4" t="s">
        <v>31</v>
      </c>
      <c r="H8" s="4" t="s">
        <v>32</v>
      </c>
    </row>
    <row r="9" spans="1:10" x14ac:dyDescent="0.3">
      <c r="A9" s="5" t="s">
        <v>4</v>
      </c>
      <c r="B9" s="9">
        <v>1.8391537</v>
      </c>
      <c r="C9" s="9">
        <v>2.0312991</v>
      </c>
      <c r="D9" s="6">
        <f t="shared" ref="D9:D22" si="1">(C9-B9)/ABS(B9)</f>
        <v>0.10447490060238034</v>
      </c>
      <c r="E9" s="9">
        <v>2.9385052000000003</v>
      </c>
      <c r="F9" s="6">
        <f>(E9-C9)/ABS(C9)</f>
        <v>0.44661374585357727</v>
      </c>
      <c r="G9" s="7"/>
      <c r="H9" s="7"/>
    </row>
    <row r="10" spans="1:10" x14ac:dyDescent="0.3">
      <c r="A10" s="5" t="s">
        <v>5</v>
      </c>
      <c r="B10" s="9">
        <v>0.93178389999999989</v>
      </c>
      <c r="C10" s="9">
        <v>0.84607369999999993</v>
      </c>
      <c r="D10" s="6">
        <f t="shared" si="1"/>
        <v>-9.1985062201654241E-2</v>
      </c>
      <c r="E10" s="9">
        <v>1.7879143</v>
      </c>
      <c r="F10" s="6">
        <f>(E10-C10)/ABS(C10)</f>
        <v>1.1131897847669774</v>
      </c>
      <c r="G10" s="7"/>
      <c r="H10" s="7"/>
    </row>
    <row r="11" spans="1:10" x14ac:dyDescent="0.3">
      <c r="A11" s="5" t="s">
        <v>9</v>
      </c>
      <c r="B11" s="9">
        <v>0.33997900000000003</v>
      </c>
      <c r="C11" s="9">
        <v>0.70637110000000003</v>
      </c>
      <c r="D11" s="6">
        <f t="shared" si="1"/>
        <v>1.0776903867591821</v>
      </c>
      <c r="E11" s="9">
        <v>0.60385909999999998</v>
      </c>
      <c r="F11" s="6">
        <f>(E11-C11)/ABS(C11)</f>
        <v>-0.14512485009650034</v>
      </c>
      <c r="G11" s="7"/>
      <c r="H11" s="7"/>
    </row>
    <row r="12" spans="1:10" x14ac:dyDescent="0.3">
      <c r="A12" s="5" t="s">
        <v>8</v>
      </c>
      <c r="B12" s="9">
        <v>0.278555</v>
      </c>
      <c r="C12" s="9">
        <v>7.1999999999999995E-2</v>
      </c>
      <c r="D12" s="6">
        <f t="shared" si="1"/>
        <v>-0.74152321803593546</v>
      </c>
      <c r="E12" s="9">
        <v>0.37462670000000003</v>
      </c>
      <c r="F12" s="6">
        <f>(E12-C12)/ABS(C12)</f>
        <v>4.2031486111111116</v>
      </c>
      <c r="G12" s="7"/>
      <c r="H12" s="7"/>
    </row>
    <row r="13" spans="1:10" x14ac:dyDescent="0.3">
      <c r="A13" s="5" t="s">
        <v>12</v>
      </c>
      <c r="B13" s="9">
        <v>0.1906188</v>
      </c>
      <c r="C13" s="9">
        <v>0.13059000000000001</v>
      </c>
      <c r="D13" s="6">
        <f t="shared" si="1"/>
        <v>-0.31491542282293244</v>
      </c>
      <c r="E13" s="9">
        <v>9.7651600000000005E-2</v>
      </c>
      <c r="F13" s="6">
        <f>(E13-C13)/ABS(C13)</f>
        <v>-0.25222758251014626</v>
      </c>
      <c r="G13" s="7"/>
      <c r="H13" s="7"/>
    </row>
    <row r="14" spans="1:10" x14ac:dyDescent="0.3">
      <c r="A14" s="5" t="s">
        <v>3</v>
      </c>
      <c r="B14" s="9">
        <v>6.1201800000000001E-2</v>
      </c>
      <c r="C14" s="9">
        <v>0.1008014</v>
      </c>
      <c r="D14" s="6">
        <f t="shared" si="1"/>
        <v>0.64703325719178195</v>
      </c>
      <c r="E14" s="9">
        <v>3.1501299999999996E-2</v>
      </c>
      <c r="F14" s="6">
        <f>(E14-C14)/ABS(C14)</f>
        <v>-0.68749144357122027</v>
      </c>
      <c r="G14" s="7"/>
      <c r="H14" s="7"/>
    </row>
    <row r="15" spans="1:10" x14ac:dyDescent="0.3">
      <c r="A15" s="5" t="s">
        <v>7</v>
      </c>
      <c r="B15" s="9">
        <v>9.4500000000000001E-2</v>
      </c>
      <c r="C15" s="9">
        <v>-9.4500000000000001E-3</v>
      </c>
      <c r="D15" s="6">
        <f t="shared" si="1"/>
        <v>-1.1000000000000001</v>
      </c>
      <c r="E15" s="9">
        <v>3.15E-2</v>
      </c>
      <c r="F15" s="6">
        <f>(E15-C15)/ABS(C15)</f>
        <v>4.333333333333333</v>
      </c>
      <c r="G15" s="7"/>
      <c r="H15" s="7"/>
    </row>
    <row r="16" spans="1:10" x14ac:dyDescent="0.3">
      <c r="A16" s="5" t="s">
        <v>13</v>
      </c>
      <c r="B16" s="9">
        <v>0</v>
      </c>
      <c r="C16" s="9">
        <v>1.485E-2</v>
      </c>
      <c r="D16" s="6" t="e">
        <f t="shared" si="1"/>
        <v>#DIV/0!</v>
      </c>
      <c r="E16" s="9">
        <v>2.9700000000000001E-2</v>
      </c>
      <c r="F16" s="6">
        <f>(E16-C16)/ABS(C16)</f>
        <v>1</v>
      </c>
      <c r="G16" s="7"/>
      <c r="H16" s="7"/>
    </row>
    <row r="17" spans="1:8" x14ac:dyDescent="0.3">
      <c r="A17" s="5" t="s">
        <v>17</v>
      </c>
      <c r="B17" s="9">
        <v>0</v>
      </c>
      <c r="C17" s="9">
        <v>0</v>
      </c>
      <c r="D17" s="6" t="e">
        <f t="shared" si="1"/>
        <v>#DIV/0!</v>
      </c>
      <c r="E17" s="9">
        <v>2.6103400000000002E-2</v>
      </c>
      <c r="F17" s="6" t="e">
        <f>(E17-C17)/ABS(C17)</f>
        <v>#DIV/0!</v>
      </c>
      <c r="G17" s="7"/>
      <c r="H17" s="7"/>
    </row>
    <row r="18" spans="1:8" x14ac:dyDescent="0.3">
      <c r="A18" s="5" t="s">
        <v>20</v>
      </c>
      <c r="B18" s="9">
        <v>0.11241220000000002</v>
      </c>
      <c r="C18" s="9">
        <v>-2.6460000000000001E-2</v>
      </c>
      <c r="D18" s="6">
        <f t="shared" si="1"/>
        <v>-1.2353837039040247</v>
      </c>
      <c r="E18" s="9">
        <v>1.5750799999999999E-2</v>
      </c>
      <c r="F18" s="6">
        <f>(E18-C18)/ABS(C18)</f>
        <v>1.5952683295540437</v>
      </c>
      <c r="G18" s="7"/>
      <c r="H18" s="7"/>
    </row>
    <row r="19" spans="1:8" x14ac:dyDescent="0.3">
      <c r="A19" s="5" t="s">
        <v>6</v>
      </c>
      <c r="B19" s="9">
        <v>5.8049999999999997E-2</v>
      </c>
      <c r="C19" s="9">
        <v>1.2371400000000001E-2</v>
      </c>
      <c r="D19" s="6">
        <f t="shared" si="1"/>
        <v>-0.78688372093023262</v>
      </c>
      <c r="E19" s="9">
        <v>1.575E-2</v>
      </c>
      <c r="F19" s="6">
        <f>(E19-C19)/ABS(C19)</f>
        <v>0.27309762840098928</v>
      </c>
      <c r="G19" s="7"/>
      <c r="H19" s="7"/>
    </row>
    <row r="20" spans="1:8" x14ac:dyDescent="0.3">
      <c r="A20" s="5" t="s">
        <v>21</v>
      </c>
      <c r="B20" s="9">
        <v>0</v>
      </c>
      <c r="C20" s="9">
        <v>1.7100000000000001E-2</v>
      </c>
      <c r="D20" s="6" t="e">
        <f t="shared" si="1"/>
        <v>#DIV/0!</v>
      </c>
      <c r="E20" s="9">
        <v>3.7805E-3</v>
      </c>
      <c r="F20" s="6">
        <f>(E20-C20)/ABS(C20)</f>
        <v>-0.77891812865497079</v>
      </c>
      <c r="G20" s="7"/>
      <c r="H20" s="7"/>
    </row>
    <row r="21" spans="1:8" x14ac:dyDescent="0.3">
      <c r="A21" s="5" t="s">
        <v>16</v>
      </c>
      <c r="B21" s="9">
        <v>7.6501E-2</v>
      </c>
      <c r="C21" s="9">
        <v>1.02623E-2</v>
      </c>
      <c r="D21" s="6">
        <f t="shared" si="1"/>
        <v>-0.86585404112364539</v>
      </c>
      <c r="E21" s="9">
        <v>-7.9211000000000004E-3</v>
      </c>
      <c r="F21" s="6">
        <f>(E21-C21)/ABS(C21)</f>
        <v>-1.7718640070939264</v>
      </c>
      <c r="G21" s="7"/>
      <c r="H21" s="7"/>
    </row>
    <row r="22" spans="1:8" x14ac:dyDescent="0.3">
      <c r="A22" s="15" t="s">
        <v>1</v>
      </c>
      <c r="B22" s="18">
        <v>3.9827553999999994</v>
      </c>
      <c r="C22" s="18">
        <v>3.9058090000000001</v>
      </c>
      <c r="D22" s="16">
        <f t="shared" si="1"/>
        <v>-1.9319890947859693E-2</v>
      </c>
      <c r="E22" s="18">
        <v>5.9487218000000004</v>
      </c>
      <c r="F22" s="16">
        <f>(E22-C22)/ABS(C22)</f>
        <v>0.52304472645743816</v>
      </c>
      <c r="G22" s="17"/>
      <c r="H22" s="17"/>
    </row>
    <row r="24" spans="1:8" x14ac:dyDescent="0.3">
      <c r="A24" s="10" t="s">
        <v>38</v>
      </c>
    </row>
    <row r="25" spans="1:8" x14ac:dyDescent="0.3">
      <c r="A25" s="4" t="s">
        <v>0</v>
      </c>
      <c r="B25" s="4" t="s">
        <v>41</v>
      </c>
      <c r="C25" s="4" t="s">
        <v>42</v>
      </c>
      <c r="D25" s="4" t="s">
        <v>35</v>
      </c>
      <c r="E25" s="4" t="s">
        <v>43</v>
      </c>
      <c r="F25" s="4" t="s">
        <v>36</v>
      </c>
      <c r="G25" s="4" t="s">
        <v>31</v>
      </c>
      <c r="H25" s="4" t="s">
        <v>32</v>
      </c>
    </row>
    <row r="26" spans="1:8" x14ac:dyDescent="0.3">
      <c r="A26" s="5" t="s">
        <v>14</v>
      </c>
      <c r="B26" s="9">
        <v>9.9000000000000005E-2</v>
      </c>
      <c r="C26" s="9">
        <v>-4.437E-2</v>
      </c>
      <c r="D26" s="6">
        <f t="shared" ref="D26:D33" si="2">(C26-B26)/ABS(B26)</f>
        <v>-1.448181818181818</v>
      </c>
      <c r="E26" s="9">
        <v>8.5500000000000007E-2</v>
      </c>
      <c r="F26" s="6">
        <f>(E26-C26)/ABS(C26)</f>
        <v>2.926977687626775</v>
      </c>
      <c r="G26" s="7"/>
      <c r="H26" s="7"/>
    </row>
    <row r="27" spans="1:8" x14ac:dyDescent="0.3">
      <c r="A27" s="5" t="s">
        <v>5</v>
      </c>
      <c r="B27" s="9">
        <v>4.4600000000000001E-2</v>
      </c>
      <c r="C27" s="9">
        <v>7.4438199999999996E-2</v>
      </c>
      <c r="D27" s="6">
        <f t="shared" si="2"/>
        <v>0.6690179372197308</v>
      </c>
      <c r="E27" s="9">
        <v>7.4429999999999996E-2</v>
      </c>
      <c r="F27" s="6">
        <f>(E27-C27)/ABS(C27)</f>
        <v>-1.1015849389157549E-4</v>
      </c>
      <c r="G27" s="7"/>
      <c r="H27" s="7"/>
    </row>
    <row r="28" spans="1:8" x14ac:dyDescent="0.3">
      <c r="A28" s="5" t="s">
        <v>4</v>
      </c>
      <c r="B28" s="9">
        <v>9.4500000000000001E-3</v>
      </c>
      <c r="C28" s="9">
        <v>9.4500000000000001E-3</v>
      </c>
      <c r="D28" s="6">
        <f t="shared" si="2"/>
        <v>0</v>
      </c>
      <c r="E28" s="9">
        <v>4.1849999999999998E-2</v>
      </c>
      <c r="F28" s="6">
        <f>(E28-C28)/ABS(C28)</f>
        <v>3.4285714285714284</v>
      </c>
      <c r="G28" s="7"/>
      <c r="H28" s="7"/>
    </row>
    <row r="29" spans="1:8" x14ac:dyDescent="0.3">
      <c r="A29" s="5" t="s">
        <v>11</v>
      </c>
      <c r="B29" s="9">
        <v>9.1804200000000002E-2</v>
      </c>
      <c r="C29" s="9">
        <v>0</v>
      </c>
      <c r="D29" s="6">
        <f t="shared" si="2"/>
        <v>-1</v>
      </c>
      <c r="E29" s="9">
        <v>3.15E-2</v>
      </c>
      <c r="F29" s="6" t="e">
        <f>(E29-C29)/ABS(C29)</f>
        <v>#DIV/0!</v>
      </c>
      <c r="G29" s="7"/>
      <c r="H29" s="7"/>
    </row>
    <row r="30" spans="1:8" x14ac:dyDescent="0.3">
      <c r="A30" s="5" t="s">
        <v>22</v>
      </c>
      <c r="B30" s="9">
        <v>1.09804E-2</v>
      </c>
      <c r="C30" s="9">
        <v>6.8492799999999993E-2</v>
      </c>
      <c r="D30" s="6">
        <f t="shared" si="2"/>
        <v>5.2377326873337946</v>
      </c>
      <c r="E30" s="9">
        <v>2.1961999999999999E-2</v>
      </c>
      <c r="F30" s="6">
        <f>(E30-C30)/ABS(C30)</f>
        <v>-0.67935315828817044</v>
      </c>
      <c r="G30" s="7"/>
      <c r="H30" s="7"/>
    </row>
    <row r="31" spans="1:8" x14ac:dyDescent="0.3">
      <c r="A31" s="5" t="s">
        <v>23</v>
      </c>
      <c r="B31" s="9">
        <v>0</v>
      </c>
      <c r="C31" s="9">
        <v>0</v>
      </c>
      <c r="D31" s="6" t="e">
        <f t="shared" si="2"/>
        <v>#DIV/0!</v>
      </c>
      <c r="E31" s="9">
        <v>5.7600000000000004E-3</v>
      </c>
      <c r="F31" s="6" t="e">
        <f>(E31-C31)/ABS(C31)</f>
        <v>#DIV/0!</v>
      </c>
      <c r="G31" s="7"/>
      <c r="H31" s="7"/>
    </row>
    <row r="32" spans="1:8" x14ac:dyDescent="0.3">
      <c r="A32" s="5" t="s">
        <v>8</v>
      </c>
      <c r="B32" s="9">
        <v>0</v>
      </c>
      <c r="C32" s="9">
        <v>9.9000000000000008E-3</v>
      </c>
      <c r="D32" s="6" t="e">
        <f t="shared" si="2"/>
        <v>#DIV/0!</v>
      </c>
      <c r="E32" s="9">
        <v>0</v>
      </c>
      <c r="F32" s="6">
        <f>(E32-C32)/ABS(C32)</f>
        <v>-1</v>
      </c>
      <c r="G32" s="7"/>
      <c r="H32" s="7"/>
    </row>
    <row r="33" spans="1:8" x14ac:dyDescent="0.3">
      <c r="A33" s="15" t="s">
        <v>1</v>
      </c>
      <c r="B33" s="18">
        <v>0.25583459999999997</v>
      </c>
      <c r="C33" s="18">
        <v>0.11791099999999999</v>
      </c>
      <c r="D33" s="16">
        <f t="shared" si="2"/>
        <v>-0.53911237963903236</v>
      </c>
      <c r="E33" s="18">
        <v>0.26100200000000001</v>
      </c>
      <c r="F33" s="16">
        <f>(E33-C33)/ABS(C33)</f>
        <v>1.213550898559083</v>
      </c>
      <c r="G33" s="17"/>
      <c r="H33" s="17"/>
    </row>
    <row r="35" spans="1:8" x14ac:dyDescent="0.3">
      <c r="A35" s="10" t="s">
        <v>39</v>
      </c>
    </row>
    <row r="36" spans="1:8" x14ac:dyDescent="0.3">
      <c r="A36" s="4" t="s">
        <v>0</v>
      </c>
      <c r="B36" s="4" t="s">
        <v>41</v>
      </c>
      <c r="C36" s="4" t="s">
        <v>42</v>
      </c>
      <c r="D36" s="4" t="s">
        <v>35</v>
      </c>
      <c r="E36" s="4" t="s">
        <v>43</v>
      </c>
      <c r="F36" s="4" t="s">
        <v>36</v>
      </c>
      <c r="G36" s="4" t="s">
        <v>31</v>
      </c>
      <c r="H36" s="4" t="s">
        <v>32</v>
      </c>
    </row>
    <row r="37" spans="1:8" x14ac:dyDescent="0.3">
      <c r="A37" s="5" t="s">
        <v>15</v>
      </c>
      <c r="B37" s="9">
        <v>15.7805</v>
      </c>
      <c r="C37" s="9">
        <v>17.997119999999999</v>
      </c>
      <c r="D37" s="6">
        <f t="shared" ref="D37:D38" si="3">(C37-B37)/ABS(B37)</f>
        <v>0.14046576470960989</v>
      </c>
      <c r="E37" s="9">
        <v>12.812216200000002</v>
      </c>
      <c r="F37" s="6">
        <f>(E37-C37)/ABS(C37)</f>
        <v>-0.28809630652015422</v>
      </c>
      <c r="G37" s="7"/>
      <c r="H37" s="7"/>
    </row>
    <row r="38" spans="1:8" x14ac:dyDescent="0.3">
      <c r="A38" s="15" t="s">
        <v>1</v>
      </c>
      <c r="B38" s="18">
        <v>15.7805</v>
      </c>
      <c r="C38" s="18">
        <v>17.997119999999999</v>
      </c>
      <c r="D38" s="16">
        <f t="shared" si="3"/>
        <v>0.14046576470960989</v>
      </c>
      <c r="E38" s="18">
        <v>12.812216200000002</v>
      </c>
      <c r="F38" s="16">
        <f>(E38-C38)/ABS(C38)</f>
        <v>-0.28809630652015422</v>
      </c>
      <c r="G38" s="17"/>
      <c r="H38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6575-B3F6-4D4A-AE0C-69A4F30B4F8F}">
  <dimension ref="A1:J44"/>
  <sheetViews>
    <sheetView workbookViewId="0">
      <selection activeCell="D21" sqref="D21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28.2187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43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259.66742620000002</v>
      </c>
      <c r="C2" s="5">
        <v>274.15611000000001</v>
      </c>
      <c r="D2" s="6">
        <f>(C2-B2)/B2</f>
        <v>5.5797078640278018E-2</v>
      </c>
      <c r="E2" s="5">
        <v>226.69059999999999</v>
      </c>
      <c r="F2" s="6">
        <f>(E2-C2)/C2</f>
        <v>-0.17313314665866839</v>
      </c>
      <c r="G2" s="7"/>
      <c r="H2" s="7"/>
      <c r="J2">
        <v>100000</v>
      </c>
    </row>
    <row r="3" spans="1:10" x14ac:dyDescent="0.3">
      <c r="A3" s="5" t="s">
        <v>2</v>
      </c>
      <c r="B3" s="5">
        <v>16.667558500000002</v>
      </c>
      <c r="C3" s="5">
        <v>25.773328800000009</v>
      </c>
      <c r="D3" s="6">
        <f t="shared" ref="D3:D44" si="0">(C3-B3)/B3</f>
        <v>0.54631698457815558</v>
      </c>
      <c r="E3" s="5">
        <v>18.312852100000001</v>
      </c>
      <c r="F3" s="6">
        <f t="shared" ref="F3:F39" si="1">(E3-C3)/C3</f>
        <v>-0.28946500306161482</v>
      </c>
      <c r="G3" s="7"/>
      <c r="H3" s="7"/>
    </row>
    <row r="4" spans="1:10" x14ac:dyDescent="0.3">
      <c r="A4" s="5" t="s">
        <v>10</v>
      </c>
      <c r="B4" s="5">
        <v>4.5994353000000006</v>
      </c>
      <c r="C4" s="5">
        <v>6.2324612000000004</v>
      </c>
      <c r="D4" s="6">
        <f t="shared" si="0"/>
        <v>0.35504921658534899</v>
      </c>
      <c r="E4" s="5">
        <v>4.7700679000000008</v>
      </c>
      <c r="F4" s="6">
        <f t="shared" si="1"/>
        <v>-0.23464138051914379</v>
      </c>
      <c r="G4" s="7"/>
      <c r="H4" s="7"/>
    </row>
    <row r="5" spans="1:10" x14ac:dyDescent="0.3">
      <c r="A5" s="5" t="s">
        <v>25</v>
      </c>
      <c r="B5" s="5">
        <v>8.4000000000000005E-2</v>
      </c>
      <c r="C5" s="5">
        <v>0</v>
      </c>
      <c r="D5" s="6">
        <f t="shared" si="0"/>
        <v>-1</v>
      </c>
      <c r="E5" s="5">
        <v>0</v>
      </c>
      <c r="F5" s="6"/>
      <c r="G5" s="7"/>
      <c r="H5" s="7"/>
    </row>
    <row r="6" spans="1:10" x14ac:dyDescent="0.3">
      <c r="A6" s="15" t="s">
        <v>1</v>
      </c>
      <c r="B6" s="15">
        <v>281.01842000000005</v>
      </c>
      <c r="C6" s="15">
        <v>306.16190000000006</v>
      </c>
      <c r="D6" s="16">
        <f t="shared" si="0"/>
        <v>8.9472711432937405E-2</v>
      </c>
      <c r="E6" s="15">
        <v>249.77351999999999</v>
      </c>
      <c r="F6" s="16">
        <f t="shared" si="1"/>
        <v>-0.18417830566115528</v>
      </c>
      <c r="G6" s="17"/>
      <c r="H6" s="17"/>
    </row>
    <row r="7" spans="1:10" x14ac:dyDescent="0.3">
      <c r="D7" s="3"/>
      <c r="F7" s="3"/>
    </row>
    <row r="8" spans="1:10" x14ac:dyDescent="0.3">
      <c r="A8" s="10" t="s">
        <v>37</v>
      </c>
      <c r="D8" s="3"/>
      <c r="F8" s="3"/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43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4</v>
      </c>
      <c r="B10" s="5">
        <v>8.9662515000000003</v>
      </c>
      <c r="C10" s="5">
        <v>11.538678399999998</v>
      </c>
      <c r="D10" s="6">
        <f t="shared" si="0"/>
        <v>0.28690104220253004</v>
      </c>
      <c r="E10" s="5">
        <v>9.9436567</v>
      </c>
      <c r="F10" s="6">
        <f t="shared" si="1"/>
        <v>-0.13823261596406039</v>
      </c>
      <c r="G10" s="7"/>
      <c r="H10" s="7"/>
    </row>
    <row r="11" spans="1:10" x14ac:dyDescent="0.3">
      <c r="A11" s="5" t="s">
        <v>5</v>
      </c>
      <c r="B11" s="5">
        <v>2.8742611999999998</v>
      </c>
      <c r="C11" s="5">
        <v>8.7538897000000002</v>
      </c>
      <c r="D11" s="6">
        <f t="shared" si="0"/>
        <v>2.0456138433069344</v>
      </c>
      <c r="E11" s="5">
        <v>4.6722125999999999</v>
      </c>
      <c r="F11" s="6">
        <f t="shared" si="1"/>
        <v>-0.46627010847532158</v>
      </c>
      <c r="G11" s="7"/>
      <c r="H11" s="7"/>
    </row>
    <row r="12" spans="1:10" x14ac:dyDescent="0.3">
      <c r="A12" s="5" t="s">
        <v>8</v>
      </c>
      <c r="B12" s="5">
        <v>1.3308705000000001</v>
      </c>
      <c r="C12" s="5">
        <v>2.0312620999999997</v>
      </c>
      <c r="D12" s="6">
        <f t="shared" si="0"/>
        <v>0.52626577867643742</v>
      </c>
      <c r="E12" s="5">
        <v>1.5547532000000002</v>
      </c>
      <c r="F12" s="6">
        <f t="shared" si="1"/>
        <v>-0.2345875995027917</v>
      </c>
      <c r="G12" s="7"/>
      <c r="H12" s="7"/>
    </row>
    <row r="13" spans="1:10" x14ac:dyDescent="0.3">
      <c r="A13" s="5" t="s">
        <v>9</v>
      </c>
      <c r="B13" s="5">
        <v>0.73102950000000011</v>
      </c>
      <c r="C13" s="5">
        <v>1.1439763000000001</v>
      </c>
      <c r="D13" s="6">
        <f t="shared" si="0"/>
        <v>0.56488390687379908</v>
      </c>
      <c r="E13" s="5">
        <v>0.94239079999999997</v>
      </c>
      <c r="F13" s="6">
        <f t="shared" si="1"/>
        <v>-0.17621475200141828</v>
      </c>
      <c r="G13" s="7"/>
      <c r="H13" s="7"/>
    </row>
    <row r="14" spans="1:10" x14ac:dyDescent="0.3">
      <c r="A14" s="5" t="s">
        <v>12</v>
      </c>
      <c r="B14" s="5">
        <v>0.79542119999999994</v>
      </c>
      <c r="C14" s="5">
        <v>0.66512009999999999</v>
      </c>
      <c r="D14" s="6">
        <f t="shared" si="0"/>
        <v>-0.16381396422423736</v>
      </c>
      <c r="E14" s="5">
        <v>0.66015080000000004</v>
      </c>
      <c r="F14" s="6">
        <f t="shared" si="1"/>
        <v>-7.4712822541371914E-3</v>
      </c>
      <c r="G14" s="7"/>
      <c r="H14" s="7"/>
    </row>
    <row r="15" spans="1:10" x14ac:dyDescent="0.3">
      <c r="A15" s="5" t="s">
        <v>20</v>
      </c>
      <c r="B15" s="5">
        <v>0.1026001</v>
      </c>
      <c r="C15" s="5">
        <v>0.18792</v>
      </c>
      <c r="D15" s="6">
        <f t="shared" si="0"/>
        <v>0.83157716220549494</v>
      </c>
      <c r="E15" s="5">
        <v>0.31103930000000002</v>
      </c>
      <c r="F15" s="6">
        <f t="shared" si="1"/>
        <v>0.65516868880374635</v>
      </c>
      <c r="G15" s="7"/>
      <c r="H15" s="7"/>
    </row>
    <row r="16" spans="1:10" x14ac:dyDescent="0.3">
      <c r="A16" s="5" t="s">
        <v>16</v>
      </c>
      <c r="B16" s="5">
        <v>0.66582669999999999</v>
      </c>
      <c r="C16" s="5">
        <v>0.73563060000000002</v>
      </c>
      <c r="D16" s="6">
        <f t="shared" si="0"/>
        <v>0.10483794056321266</v>
      </c>
      <c r="E16" s="5">
        <v>0.22571830000000001</v>
      </c>
      <c r="F16" s="6">
        <f t="shared" si="1"/>
        <v>-0.6931635252802153</v>
      </c>
      <c r="G16" s="7"/>
      <c r="H16" s="7"/>
    </row>
    <row r="17" spans="1:8" x14ac:dyDescent="0.3">
      <c r="A17" s="5" t="s">
        <v>7</v>
      </c>
      <c r="B17" s="5">
        <v>0.20475169999999998</v>
      </c>
      <c r="C17" s="5">
        <v>0.27186260000000001</v>
      </c>
      <c r="D17" s="6">
        <f t="shared" si="0"/>
        <v>0.3277672419813854</v>
      </c>
      <c r="E17" s="5">
        <v>0.14490330000000001</v>
      </c>
      <c r="F17" s="6">
        <f t="shared" si="1"/>
        <v>-0.46699803503681636</v>
      </c>
      <c r="G17" s="7"/>
      <c r="H17" s="7"/>
    </row>
    <row r="18" spans="1:8" x14ac:dyDescent="0.3">
      <c r="A18" s="5" t="s">
        <v>13</v>
      </c>
      <c r="B18" s="5">
        <v>2.0250000000000001E-2</v>
      </c>
      <c r="C18" s="5">
        <v>0.21476799999999999</v>
      </c>
      <c r="D18" s="6">
        <f t="shared" si="0"/>
        <v>9.6058271604938259</v>
      </c>
      <c r="E18" s="5">
        <v>0.10169940000000001</v>
      </c>
      <c r="F18" s="6">
        <f t="shared" si="1"/>
        <v>-0.52646856142442067</v>
      </c>
      <c r="G18" s="7"/>
      <c r="H18" s="7"/>
    </row>
    <row r="19" spans="1:8" x14ac:dyDescent="0.3">
      <c r="A19" s="5" t="s">
        <v>3</v>
      </c>
      <c r="B19" s="5">
        <v>0.23129630000000001</v>
      </c>
      <c r="C19" s="5">
        <v>0.1089</v>
      </c>
      <c r="D19" s="6">
        <f t="shared" si="0"/>
        <v>-0.5291753478114436</v>
      </c>
      <c r="E19" s="5">
        <v>6.840149999999999E-2</v>
      </c>
      <c r="F19" s="6">
        <f t="shared" si="1"/>
        <v>-0.37188705234159786</v>
      </c>
      <c r="G19" s="7"/>
      <c r="H19" s="7"/>
    </row>
    <row r="20" spans="1:8" x14ac:dyDescent="0.3">
      <c r="A20" s="5" t="s">
        <v>21</v>
      </c>
      <c r="B20" s="5">
        <v>0</v>
      </c>
      <c r="C20" s="5">
        <v>1.7100000000000001E-2</v>
      </c>
      <c r="D20" s="6"/>
      <c r="E20" s="5">
        <v>0</v>
      </c>
      <c r="F20" s="6">
        <f t="shared" si="1"/>
        <v>-1</v>
      </c>
      <c r="G20" s="7"/>
      <c r="H20" s="7"/>
    </row>
    <row r="21" spans="1:8" x14ac:dyDescent="0.3">
      <c r="A21" s="5" t="s">
        <v>6</v>
      </c>
      <c r="B21" s="5">
        <v>4.0229599999999997E-2</v>
      </c>
      <c r="C21" s="5">
        <v>7.6953199999999999E-2</v>
      </c>
      <c r="D21" s="6">
        <f t="shared" si="0"/>
        <v>0.91285023962455514</v>
      </c>
      <c r="E21" s="5">
        <v>-1.5736000000000001E-3</v>
      </c>
      <c r="F21" s="6">
        <f t="shared" si="1"/>
        <v>-1.0204487922529537</v>
      </c>
      <c r="G21" s="7"/>
      <c r="H21" s="7"/>
    </row>
    <row r="22" spans="1:8" x14ac:dyDescent="0.3">
      <c r="A22" s="5" t="s">
        <v>17</v>
      </c>
      <c r="B22" s="5">
        <v>0.70477020000000001</v>
      </c>
      <c r="C22" s="5">
        <v>2.7267799999999988E-2</v>
      </c>
      <c r="D22" s="6">
        <f t="shared" si="0"/>
        <v>-0.96130965809848379</v>
      </c>
      <c r="E22" s="5">
        <v>-0.3105002</v>
      </c>
      <c r="F22" s="6">
        <f t="shared" si="1"/>
        <v>-12.387064596337078</v>
      </c>
      <c r="G22" s="7"/>
      <c r="H22" s="7"/>
    </row>
    <row r="23" spans="1:8" x14ac:dyDescent="0.3">
      <c r="A23" s="15" t="s">
        <v>1</v>
      </c>
      <c r="B23" s="15">
        <v>16.667558500000002</v>
      </c>
      <c r="C23" s="15">
        <v>25.773328799999994</v>
      </c>
      <c r="D23" s="16">
        <f t="shared" si="0"/>
        <v>0.5463169845781547</v>
      </c>
      <c r="E23" s="15">
        <v>18.312852100000001</v>
      </c>
      <c r="F23" s="16">
        <f t="shared" si="1"/>
        <v>-0.28946500306161443</v>
      </c>
      <c r="G23" s="17"/>
      <c r="H23" s="17"/>
    </row>
    <row r="24" spans="1:8" x14ac:dyDescent="0.3">
      <c r="D24" s="3"/>
      <c r="F24" s="3"/>
    </row>
    <row r="25" spans="1:8" x14ac:dyDescent="0.3">
      <c r="A25" s="10" t="s">
        <v>38</v>
      </c>
      <c r="D25" s="3"/>
      <c r="F25" s="3"/>
    </row>
    <row r="26" spans="1:8" x14ac:dyDescent="0.3">
      <c r="A26" s="4" t="s">
        <v>0</v>
      </c>
      <c r="B26" s="4" t="s">
        <v>41</v>
      </c>
      <c r="C26" s="4" t="s">
        <v>42</v>
      </c>
      <c r="D26" s="4" t="s">
        <v>33</v>
      </c>
      <c r="E26" s="4" t="s">
        <v>43</v>
      </c>
      <c r="F26" s="4" t="s">
        <v>34</v>
      </c>
      <c r="G26" s="4" t="s">
        <v>31</v>
      </c>
      <c r="H26" s="4" t="s">
        <v>32</v>
      </c>
    </row>
    <row r="27" spans="1:8" x14ac:dyDescent="0.3">
      <c r="A27" s="5" t="s">
        <v>14</v>
      </c>
      <c r="B27" s="5">
        <v>1.3217701000000002</v>
      </c>
      <c r="C27" s="5">
        <v>2.4424136999999999</v>
      </c>
      <c r="D27" s="6">
        <f t="shared" si="0"/>
        <v>0.84783548969673284</v>
      </c>
      <c r="E27" s="5">
        <v>2.6721062</v>
      </c>
      <c r="F27" s="6">
        <f t="shared" si="1"/>
        <v>9.4043240913691276E-2</v>
      </c>
      <c r="G27" s="7"/>
      <c r="H27" s="7"/>
    </row>
    <row r="28" spans="1:8" x14ac:dyDescent="0.3">
      <c r="A28" s="5" t="s">
        <v>11</v>
      </c>
      <c r="B28" s="5">
        <v>2.2589858999999999</v>
      </c>
      <c r="C28" s="5">
        <v>2.5385887999999999</v>
      </c>
      <c r="D28" s="6">
        <f t="shared" si="0"/>
        <v>0.12377363665705041</v>
      </c>
      <c r="E28" s="5">
        <v>1.2366038000000001</v>
      </c>
      <c r="F28" s="6">
        <f t="shared" si="1"/>
        <v>-0.51287746956104108</v>
      </c>
      <c r="G28" s="7"/>
      <c r="H28" s="7"/>
    </row>
    <row r="29" spans="1:8" x14ac:dyDescent="0.3">
      <c r="A29" s="5" t="s">
        <v>5</v>
      </c>
      <c r="B29" s="5">
        <v>0.25329699999999999</v>
      </c>
      <c r="C29" s="5">
        <v>0.34771360000000001</v>
      </c>
      <c r="D29" s="6">
        <f t="shared" si="0"/>
        <v>0.37275056554163699</v>
      </c>
      <c r="E29" s="5">
        <v>0.22306400000000001</v>
      </c>
      <c r="F29" s="6">
        <f t="shared" si="1"/>
        <v>-0.35848353357475804</v>
      </c>
      <c r="G29" s="7"/>
      <c r="H29" s="7"/>
    </row>
    <row r="30" spans="1:8" x14ac:dyDescent="0.3">
      <c r="A30" s="5" t="s">
        <v>23</v>
      </c>
      <c r="B30" s="5">
        <v>0.28620230000000002</v>
      </c>
      <c r="C30" s="5">
        <v>0.29169240000000007</v>
      </c>
      <c r="D30" s="6">
        <f t="shared" si="0"/>
        <v>1.9182585185374308E-2</v>
      </c>
      <c r="E30" s="5">
        <v>0.22014629999999996</v>
      </c>
      <c r="F30" s="6">
        <f t="shared" si="1"/>
        <v>-0.24527927364579979</v>
      </c>
      <c r="G30" s="7"/>
      <c r="H30" s="7"/>
    </row>
    <row r="31" spans="1:8" x14ac:dyDescent="0.3">
      <c r="A31" s="5" t="s">
        <v>4</v>
      </c>
      <c r="B31" s="5">
        <v>0.3138532</v>
      </c>
      <c r="C31" s="5">
        <v>0.52863789999999988</v>
      </c>
      <c r="D31" s="6">
        <f t="shared" si="0"/>
        <v>0.68434765043020074</v>
      </c>
      <c r="E31" s="5">
        <v>0.21060129999999996</v>
      </c>
      <c r="F31" s="6">
        <f t="shared" si="1"/>
        <v>-0.60161520768753052</v>
      </c>
      <c r="G31" s="7"/>
      <c r="H31" s="7"/>
    </row>
    <row r="32" spans="1:8" x14ac:dyDescent="0.3">
      <c r="A32" s="5" t="s">
        <v>8</v>
      </c>
      <c r="B32" s="5">
        <v>0.1653268</v>
      </c>
      <c r="C32" s="5">
        <v>7.2431800000000005E-2</v>
      </c>
      <c r="D32" s="6">
        <f t="shared" si="0"/>
        <v>-0.56188712295889109</v>
      </c>
      <c r="E32" s="5">
        <v>0.19656589999999999</v>
      </c>
      <c r="F32" s="6">
        <f t="shared" si="1"/>
        <v>1.7138066429385985</v>
      </c>
      <c r="G32" s="7"/>
      <c r="H32" s="7"/>
    </row>
    <row r="33" spans="1:8" x14ac:dyDescent="0.3">
      <c r="A33" s="5" t="s">
        <v>22</v>
      </c>
      <c r="B33" s="5">
        <v>0</v>
      </c>
      <c r="C33" s="5">
        <v>1.0983E-2</v>
      </c>
      <c r="D33" s="6"/>
      <c r="E33" s="5">
        <v>1.09804E-2</v>
      </c>
      <c r="F33" s="6">
        <f t="shared" si="1"/>
        <v>-2.3672949103160991E-4</v>
      </c>
      <c r="G33" s="7"/>
      <c r="H33" s="7"/>
    </row>
    <row r="34" spans="1:8" x14ac:dyDescent="0.3">
      <c r="A34" s="15" t="s">
        <v>1</v>
      </c>
      <c r="B34" s="15">
        <v>4.5994353000000006</v>
      </c>
      <c r="C34" s="15">
        <v>6.2324611999999986</v>
      </c>
      <c r="D34" s="16">
        <f t="shared" si="0"/>
        <v>0.3550492165853486</v>
      </c>
      <c r="E34" s="15">
        <v>4.7700679000000008</v>
      </c>
      <c r="F34" s="16">
        <f t="shared" si="1"/>
        <v>-0.23464138051914357</v>
      </c>
      <c r="G34" s="17"/>
      <c r="H34" s="17"/>
    </row>
    <row r="35" spans="1:8" x14ac:dyDescent="0.3">
      <c r="D35" s="3"/>
      <c r="F35" s="3"/>
    </row>
    <row r="36" spans="1:8" x14ac:dyDescent="0.3">
      <c r="A36" s="10" t="s">
        <v>39</v>
      </c>
      <c r="D36" s="3"/>
      <c r="F36" s="3"/>
    </row>
    <row r="37" spans="1:8" x14ac:dyDescent="0.3">
      <c r="A37" s="4" t="s">
        <v>0</v>
      </c>
      <c r="B37" s="4" t="s">
        <v>41</v>
      </c>
      <c r="C37" s="4" t="s">
        <v>42</v>
      </c>
      <c r="D37" s="4" t="s">
        <v>33</v>
      </c>
      <c r="E37" s="4" t="s">
        <v>43</v>
      </c>
      <c r="F37" s="4" t="s">
        <v>34</v>
      </c>
      <c r="G37" s="4" t="s">
        <v>31</v>
      </c>
      <c r="H37" s="4" t="s">
        <v>32</v>
      </c>
    </row>
    <row r="38" spans="1:8" x14ac:dyDescent="0.3">
      <c r="A38" s="5" t="s">
        <v>15</v>
      </c>
      <c r="B38" s="5">
        <v>259.66742620000002</v>
      </c>
      <c r="C38" s="5">
        <v>274.15611000000001</v>
      </c>
      <c r="D38" s="6">
        <f t="shared" si="0"/>
        <v>5.5797078640278018E-2</v>
      </c>
      <c r="E38" s="5">
        <v>226.69059999999999</v>
      </c>
      <c r="F38" s="6">
        <f t="shared" si="1"/>
        <v>-0.17313314665866839</v>
      </c>
      <c r="G38" s="7"/>
      <c r="H38" s="7"/>
    </row>
    <row r="39" spans="1:8" x14ac:dyDescent="0.3">
      <c r="A39" s="15" t="s">
        <v>1</v>
      </c>
      <c r="B39" s="15">
        <v>259.66742620000002</v>
      </c>
      <c r="C39" s="15">
        <v>274.15611000000001</v>
      </c>
      <c r="D39" s="16">
        <f t="shared" si="0"/>
        <v>5.5797078640278018E-2</v>
      </c>
      <c r="E39" s="15">
        <v>226.69059999999999</v>
      </c>
      <c r="F39" s="16">
        <f t="shared" si="1"/>
        <v>-0.17313314665866839</v>
      </c>
      <c r="G39" s="17"/>
      <c r="H39" s="17"/>
    </row>
    <row r="40" spans="1:8" x14ac:dyDescent="0.3">
      <c r="A40" s="1"/>
      <c r="B40" s="1"/>
      <c r="C40" s="1"/>
      <c r="D40" s="3"/>
      <c r="E40" s="1"/>
      <c r="F40" s="3"/>
    </row>
    <row r="41" spans="1:8" x14ac:dyDescent="0.3">
      <c r="A41" s="12" t="s">
        <v>40</v>
      </c>
      <c r="D41" s="3"/>
      <c r="F41" s="3"/>
    </row>
    <row r="42" spans="1:8" x14ac:dyDescent="0.3">
      <c r="A42" s="4" t="s">
        <v>0</v>
      </c>
      <c r="B42" s="4" t="s">
        <v>41</v>
      </c>
      <c r="C42" s="4" t="s">
        <v>42</v>
      </c>
      <c r="D42" s="4" t="s">
        <v>33</v>
      </c>
      <c r="E42" s="4" t="s">
        <v>43</v>
      </c>
      <c r="F42" s="4" t="s">
        <v>34</v>
      </c>
      <c r="G42" s="4" t="s">
        <v>31</v>
      </c>
      <c r="H42" s="4" t="s">
        <v>32</v>
      </c>
    </row>
    <row r="43" spans="1:8" x14ac:dyDescent="0.3">
      <c r="A43" s="5" t="s">
        <v>28</v>
      </c>
      <c r="B43" s="5">
        <v>8.4000000000000005E-2</v>
      </c>
      <c r="C43" s="5">
        <v>0</v>
      </c>
      <c r="D43" s="6">
        <f t="shared" si="0"/>
        <v>-1</v>
      </c>
      <c r="E43" s="5">
        <v>0</v>
      </c>
      <c r="F43" s="6"/>
      <c r="G43" s="7"/>
      <c r="H43" s="7"/>
    </row>
    <row r="44" spans="1:8" x14ac:dyDescent="0.3">
      <c r="A44" s="15" t="s">
        <v>1</v>
      </c>
      <c r="B44" s="15">
        <v>8.4000000000000005E-2</v>
      </c>
      <c r="C44" s="15">
        <v>0</v>
      </c>
      <c r="D44" s="16">
        <f t="shared" si="0"/>
        <v>-1</v>
      </c>
      <c r="E44" s="15">
        <v>0</v>
      </c>
      <c r="F44" s="16"/>
      <c r="G44" s="17"/>
      <c r="H44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497A-9E77-471C-B6B4-1D19D1D8A6CA}">
  <dimension ref="A1:K73"/>
  <sheetViews>
    <sheetView workbookViewId="0">
      <selection activeCell="E24" sqref="E24"/>
    </sheetView>
  </sheetViews>
  <sheetFormatPr defaultRowHeight="14.4" x14ac:dyDescent="0.3"/>
  <cols>
    <col min="1" max="1" width="14.5546875" bestFit="1" customWidth="1"/>
    <col min="2" max="3" width="14.109375" style="2" bestFit="1" customWidth="1"/>
    <col min="4" max="4" width="14.33203125" style="2" bestFit="1" customWidth="1"/>
    <col min="5" max="5" width="32.33203125" style="2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  <c r="K1">
        <v>100000</v>
      </c>
    </row>
    <row r="2" spans="1:11" x14ac:dyDescent="0.3">
      <c r="A2" s="5" t="s">
        <v>18</v>
      </c>
      <c r="B2" s="5">
        <v>1567.7466990999997</v>
      </c>
      <c r="C2" s="5">
        <v>2212.1414454999999</v>
      </c>
      <c r="D2" s="6">
        <f>(C2-B2)/B2</f>
        <v>0.41103243704479148</v>
      </c>
      <c r="E2" s="5">
        <v>3011.2975466000021</v>
      </c>
      <c r="F2" s="6">
        <f>(E2-C2)/C2</f>
        <v>0.36125904278212767</v>
      </c>
      <c r="G2" s="7"/>
      <c r="H2" s="7"/>
    </row>
    <row r="3" spans="1:11" x14ac:dyDescent="0.3">
      <c r="A3" s="5" t="s">
        <v>2</v>
      </c>
      <c r="B3" s="5">
        <v>1507.108369099999</v>
      </c>
      <c r="C3" s="5">
        <v>1859.0059129000006</v>
      </c>
      <c r="D3" s="6">
        <f t="shared" ref="D3:D24" si="0">(C3-B3)/B3</f>
        <v>0.2334918649613395</v>
      </c>
      <c r="E3" s="5">
        <v>1418.3267293999993</v>
      </c>
      <c r="F3" s="6">
        <f t="shared" ref="F3:F6" si="1">(E3-C3)/C3</f>
        <v>-0.23705098539065605</v>
      </c>
      <c r="G3" s="7"/>
      <c r="H3" s="7"/>
    </row>
    <row r="4" spans="1:11" x14ac:dyDescent="0.3">
      <c r="A4" s="5" t="s">
        <v>10</v>
      </c>
      <c r="B4" s="5">
        <v>217.36075220000018</v>
      </c>
      <c r="C4" s="5">
        <v>364.6363381000001</v>
      </c>
      <c r="D4" s="6">
        <f t="shared" si="0"/>
        <v>0.67756291975143346</v>
      </c>
      <c r="E4" s="5">
        <v>354.56178380000023</v>
      </c>
      <c r="F4" s="6">
        <f t="shared" si="1"/>
        <v>-2.76290463876833E-2</v>
      </c>
      <c r="G4" s="7"/>
      <c r="H4" s="7"/>
    </row>
    <row r="5" spans="1:11" x14ac:dyDescent="0.3">
      <c r="A5" s="5" t="s">
        <v>25</v>
      </c>
      <c r="B5" s="5">
        <v>150.85895959999999</v>
      </c>
      <c r="C5" s="5">
        <v>221.26587850000001</v>
      </c>
      <c r="D5" s="6">
        <f t="shared" si="0"/>
        <v>0.46670691012772986</v>
      </c>
      <c r="E5" s="5">
        <v>303.82419020000003</v>
      </c>
      <c r="F5" s="6">
        <f t="shared" si="1"/>
        <v>0.37311813398286808</v>
      </c>
      <c r="G5" s="7"/>
      <c r="H5" s="7"/>
    </row>
    <row r="6" spans="1:11" x14ac:dyDescent="0.3">
      <c r="A6" s="15" t="s">
        <v>1</v>
      </c>
      <c r="B6" s="15">
        <v>3443.074779999999</v>
      </c>
      <c r="C6" s="15">
        <v>4657.0495750000009</v>
      </c>
      <c r="D6" s="16">
        <f t="shared" si="0"/>
        <v>0.35258449861492763</v>
      </c>
      <c r="E6" s="15">
        <v>5088.0102500000012</v>
      </c>
      <c r="F6" s="16">
        <f t="shared" si="1"/>
        <v>9.253942180763669E-2</v>
      </c>
      <c r="G6" s="17"/>
      <c r="H6" s="17"/>
    </row>
    <row r="7" spans="1:11" x14ac:dyDescent="0.3">
      <c r="A7" s="1"/>
      <c r="B7" s="1"/>
      <c r="C7" s="1"/>
      <c r="D7" s="1"/>
      <c r="E7" s="1"/>
    </row>
    <row r="8" spans="1:11" x14ac:dyDescent="0.3">
      <c r="A8" s="10" t="s">
        <v>37</v>
      </c>
    </row>
    <row r="9" spans="1:11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1" x14ac:dyDescent="0.3">
      <c r="A10" s="5" t="s">
        <v>4</v>
      </c>
      <c r="B10" s="5">
        <v>389.57906930000001</v>
      </c>
      <c r="C10" s="5">
        <v>696.59705790000066</v>
      </c>
      <c r="D10" s="6">
        <f t="shared" ref="D10" si="2">(C10-B10)/B10</f>
        <v>0.78807618990325623</v>
      </c>
      <c r="E10" s="5">
        <v>601.45248419999973</v>
      </c>
      <c r="F10" s="6">
        <f t="shared" ref="F10:F24" si="3">(E10-C10)/C10</f>
        <v>-0.13658480555003913</v>
      </c>
      <c r="G10" s="7"/>
      <c r="H10" s="7"/>
    </row>
    <row r="11" spans="1:11" x14ac:dyDescent="0.3">
      <c r="A11" s="5" t="s">
        <v>12</v>
      </c>
      <c r="B11" s="5">
        <v>450.75124790000012</v>
      </c>
      <c r="C11" s="5">
        <v>255.22558159999997</v>
      </c>
      <c r="D11" s="6">
        <f t="shared" si="0"/>
        <v>-0.43377731556137106</v>
      </c>
      <c r="E11" s="5">
        <v>241.13663870000002</v>
      </c>
      <c r="F11" s="6">
        <f t="shared" si="3"/>
        <v>-5.5201922987801119E-2</v>
      </c>
      <c r="G11" s="7"/>
      <c r="H11" s="7"/>
    </row>
    <row r="12" spans="1:11" x14ac:dyDescent="0.3">
      <c r="A12" s="5" t="s">
        <v>5</v>
      </c>
      <c r="B12" s="5">
        <v>64.408109600000017</v>
      </c>
      <c r="C12" s="5">
        <v>143.59171569999995</v>
      </c>
      <c r="D12" s="6">
        <f t="shared" si="0"/>
        <v>1.2294042876240527</v>
      </c>
      <c r="E12" s="5">
        <v>183.95181139999997</v>
      </c>
      <c r="F12" s="6">
        <f t="shared" si="3"/>
        <v>0.28107537752611467</v>
      </c>
      <c r="G12" s="7"/>
      <c r="H12" s="7"/>
    </row>
    <row r="13" spans="1:11" x14ac:dyDescent="0.3">
      <c r="A13" s="5" t="s">
        <v>8</v>
      </c>
      <c r="B13" s="5">
        <v>259.09363539999987</v>
      </c>
      <c r="C13" s="5">
        <v>364.62476790000022</v>
      </c>
      <c r="D13" s="6">
        <f t="shared" si="0"/>
        <v>0.40730885703570779</v>
      </c>
      <c r="E13" s="5">
        <v>135.42931160000006</v>
      </c>
      <c r="F13" s="6">
        <f t="shared" si="3"/>
        <v>-0.62857895699191202</v>
      </c>
      <c r="G13" s="7"/>
      <c r="H13" s="7"/>
    </row>
    <row r="14" spans="1:11" x14ac:dyDescent="0.3">
      <c r="A14" s="5" t="s">
        <v>3</v>
      </c>
      <c r="B14" s="5">
        <v>32.827020399999981</v>
      </c>
      <c r="C14" s="5">
        <v>44.371205199999999</v>
      </c>
      <c r="D14" s="6">
        <f t="shared" si="0"/>
        <v>0.35166715283120925</v>
      </c>
      <c r="E14" s="5">
        <v>64.658597799999953</v>
      </c>
      <c r="F14" s="6">
        <f t="shared" si="3"/>
        <v>0.45721977819975812</v>
      </c>
      <c r="G14" s="7"/>
      <c r="H14" s="7"/>
    </row>
    <row r="15" spans="1:11" x14ac:dyDescent="0.3">
      <c r="A15" s="5" t="s">
        <v>9</v>
      </c>
      <c r="B15" s="5">
        <v>102.732955</v>
      </c>
      <c r="C15" s="5">
        <v>123.08497839999993</v>
      </c>
      <c r="D15" s="6">
        <f t="shared" si="0"/>
        <v>0.1981060838754217</v>
      </c>
      <c r="E15" s="5">
        <v>41.205017900000001</v>
      </c>
      <c r="F15" s="6">
        <f t="shared" si="3"/>
        <v>-0.66523114001700123</v>
      </c>
      <c r="G15" s="7"/>
      <c r="H15" s="7"/>
    </row>
    <row r="16" spans="1:11" x14ac:dyDescent="0.3">
      <c r="A16" s="5" t="s">
        <v>20</v>
      </c>
      <c r="B16" s="5">
        <v>45.382791600000012</v>
      </c>
      <c r="C16" s="5">
        <v>53.8911649</v>
      </c>
      <c r="D16" s="6">
        <f t="shared" si="0"/>
        <v>0.18748016594025446</v>
      </c>
      <c r="E16" s="5">
        <v>38.588456599999979</v>
      </c>
      <c r="F16" s="6">
        <f t="shared" si="3"/>
        <v>-0.2839557899406257</v>
      </c>
      <c r="G16" s="7"/>
      <c r="H16" s="7"/>
    </row>
    <row r="17" spans="1:8" x14ac:dyDescent="0.3">
      <c r="A17" s="5" t="s">
        <v>13</v>
      </c>
      <c r="B17" s="5">
        <v>50.796086899999963</v>
      </c>
      <c r="C17" s="5">
        <v>53.150193199999997</v>
      </c>
      <c r="D17" s="6">
        <f t="shared" si="0"/>
        <v>4.6344245072154074E-2</v>
      </c>
      <c r="E17" s="5">
        <v>23.130063900000007</v>
      </c>
      <c r="F17" s="6">
        <f t="shared" si="3"/>
        <v>-0.56481693654502074</v>
      </c>
      <c r="G17" s="7"/>
      <c r="H17" s="7"/>
    </row>
    <row r="18" spans="1:8" x14ac:dyDescent="0.3">
      <c r="A18" s="5" t="s">
        <v>24</v>
      </c>
      <c r="B18" s="5">
        <v>0</v>
      </c>
      <c r="C18" s="5">
        <v>7.7711346000000008</v>
      </c>
      <c r="D18" s="6" t="e">
        <f t="shared" si="0"/>
        <v>#DIV/0!</v>
      </c>
      <c r="E18" s="5">
        <v>21.931988700000005</v>
      </c>
      <c r="F18" s="6">
        <f t="shared" si="3"/>
        <v>1.8222376562619316</v>
      </c>
      <c r="G18" s="7"/>
      <c r="H18" s="7"/>
    </row>
    <row r="19" spans="1:8" x14ac:dyDescent="0.3">
      <c r="A19" s="5" t="s">
        <v>17</v>
      </c>
      <c r="B19" s="5">
        <v>43.994170099999998</v>
      </c>
      <c r="C19" s="5">
        <v>42.500297200000034</v>
      </c>
      <c r="D19" s="6">
        <f t="shared" si="0"/>
        <v>-3.3956155931668869E-2</v>
      </c>
      <c r="E19" s="5">
        <v>21.857313499999993</v>
      </c>
      <c r="F19" s="6">
        <f t="shared" si="3"/>
        <v>-0.48571386696091207</v>
      </c>
      <c r="G19" s="7"/>
      <c r="H19" s="7"/>
    </row>
    <row r="20" spans="1:8" x14ac:dyDescent="0.3">
      <c r="A20" s="5" t="s">
        <v>16</v>
      </c>
      <c r="B20" s="5">
        <v>22.715891899999999</v>
      </c>
      <c r="C20" s="5">
        <v>20.361486900000003</v>
      </c>
      <c r="D20" s="6">
        <f t="shared" si="0"/>
        <v>-0.10364572125825253</v>
      </c>
      <c r="E20" s="5">
        <v>18.947951500000002</v>
      </c>
      <c r="F20" s="6">
        <f t="shared" si="3"/>
        <v>-6.9422012593785595E-2</v>
      </c>
      <c r="G20" s="7"/>
      <c r="H20" s="7"/>
    </row>
    <row r="21" spans="1:8" x14ac:dyDescent="0.3">
      <c r="A21" s="5" t="s">
        <v>7</v>
      </c>
      <c r="B21" s="5">
        <v>17.720292600000011</v>
      </c>
      <c r="C21" s="5">
        <v>17.586405500000009</v>
      </c>
      <c r="D21" s="6">
        <f t="shared" si="0"/>
        <v>-7.5555806567213519E-3</v>
      </c>
      <c r="E21" s="5">
        <v>13.195225500000008</v>
      </c>
      <c r="F21" s="6">
        <f t="shared" si="3"/>
        <v>-0.24969172921663829</v>
      </c>
      <c r="G21" s="7"/>
      <c r="H21" s="7"/>
    </row>
    <row r="22" spans="1:8" x14ac:dyDescent="0.3">
      <c r="A22" s="5" t="s">
        <v>6</v>
      </c>
      <c r="B22" s="5">
        <v>23.121983300000004</v>
      </c>
      <c r="C22" s="5">
        <v>30.805576000000006</v>
      </c>
      <c r="D22" s="6">
        <f t="shared" si="0"/>
        <v>0.33230681816122587</v>
      </c>
      <c r="E22" s="5">
        <v>9.9253293000000031</v>
      </c>
      <c r="F22" s="6">
        <f t="shared" si="3"/>
        <v>-0.67780737811881842</v>
      </c>
      <c r="G22" s="7"/>
      <c r="H22" s="7"/>
    </row>
    <row r="23" spans="1:8" x14ac:dyDescent="0.3">
      <c r="A23" s="5" t="s">
        <v>21</v>
      </c>
      <c r="B23" s="5">
        <v>3.9851150999999994</v>
      </c>
      <c r="C23" s="5">
        <v>5.4443478999999995</v>
      </c>
      <c r="D23" s="6">
        <f t="shared" si="0"/>
        <v>0.36617080394992868</v>
      </c>
      <c r="E23" s="5">
        <v>2.9165388000000005</v>
      </c>
      <c r="F23" s="6">
        <f t="shared" si="3"/>
        <v>-0.46429970061244602</v>
      </c>
      <c r="G23" s="7"/>
      <c r="H23" s="7"/>
    </row>
    <row r="24" spans="1:8" x14ac:dyDescent="0.3">
      <c r="A24" s="15" t="s">
        <v>1</v>
      </c>
      <c r="B24" s="15">
        <v>1507.1083690999997</v>
      </c>
      <c r="C24" s="15">
        <v>1859.0059129000008</v>
      </c>
      <c r="D24" s="16">
        <f t="shared" si="0"/>
        <v>0.23349186496133911</v>
      </c>
      <c r="E24" s="15">
        <v>1418.3267293999997</v>
      </c>
      <c r="F24" s="16">
        <f t="shared" si="3"/>
        <v>-0.23705098539065592</v>
      </c>
      <c r="G24" s="17"/>
      <c r="H24" s="17"/>
    </row>
    <row r="25" spans="1:8" x14ac:dyDescent="0.3">
      <c r="B25"/>
      <c r="C25"/>
      <c r="D25"/>
      <c r="E25"/>
    </row>
    <row r="26" spans="1:8" x14ac:dyDescent="0.3">
      <c r="A26" s="10" t="s">
        <v>38</v>
      </c>
      <c r="B26"/>
      <c r="C26"/>
      <c r="D26"/>
      <c r="E26"/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110.10707289999999</v>
      </c>
      <c r="C28" s="5">
        <v>231.95159639999994</v>
      </c>
      <c r="D28" s="6">
        <f>(C28-B28)/B28</f>
        <v>1.1066003326658225</v>
      </c>
      <c r="E28" s="5">
        <v>275.75296780000002</v>
      </c>
      <c r="F28" s="6">
        <f t="shared" ref="F28:F35" si="4">(E28-C28)/C28</f>
        <v>0.18883841318541617</v>
      </c>
      <c r="G28" s="7"/>
      <c r="H28" s="7"/>
    </row>
    <row r="29" spans="1:8" x14ac:dyDescent="0.3">
      <c r="A29" s="5" t="s">
        <v>11</v>
      </c>
      <c r="B29" s="5">
        <v>28.753532100000008</v>
      </c>
      <c r="C29" s="5">
        <v>46.385519300000013</v>
      </c>
      <c r="D29" s="6">
        <f t="shared" ref="D29:D35" si="5">(C29-B29)/B29</f>
        <v>0.61321117484554188</v>
      </c>
      <c r="E29" s="5">
        <v>29.819648300000001</v>
      </c>
      <c r="F29" s="6">
        <f t="shared" si="4"/>
        <v>-0.35713453789014726</v>
      </c>
      <c r="G29" s="7"/>
      <c r="H29" s="7"/>
    </row>
    <row r="30" spans="1:8" x14ac:dyDescent="0.3">
      <c r="A30" s="5" t="s">
        <v>4</v>
      </c>
      <c r="B30" s="5">
        <v>18.677179200000001</v>
      </c>
      <c r="C30" s="5">
        <v>21.027355000000014</v>
      </c>
      <c r="D30" s="6">
        <f t="shared" si="5"/>
        <v>0.1258314103448776</v>
      </c>
      <c r="E30" s="5">
        <v>15.061137500000005</v>
      </c>
      <c r="F30" s="6">
        <f t="shared" si="4"/>
        <v>-0.28373599532608862</v>
      </c>
      <c r="G30" s="7"/>
      <c r="H30" s="7"/>
    </row>
    <row r="31" spans="1:8" x14ac:dyDescent="0.3">
      <c r="A31" s="5" t="s">
        <v>22</v>
      </c>
      <c r="B31" s="5">
        <v>10.024602300000002</v>
      </c>
      <c r="C31" s="5">
        <v>12.680854300000002</v>
      </c>
      <c r="D31" s="6">
        <f t="shared" si="5"/>
        <v>0.2649733047265127</v>
      </c>
      <c r="E31" s="5">
        <v>11.057002100000004</v>
      </c>
      <c r="F31" s="6">
        <f t="shared" si="4"/>
        <v>-0.12805542604491543</v>
      </c>
      <c r="G31" s="7"/>
      <c r="H31" s="7"/>
    </row>
    <row r="32" spans="1:8" x14ac:dyDescent="0.3">
      <c r="A32" s="5" t="s">
        <v>5</v>
      </c>
      <c r="B32" s="5">
        <v>13.418882399999999</v>
      </c>
      <c r="C32" s="5">
        <v>16.318117900000008</v>
      </c>
      <c r="D32" s="6">
        <f t="shared" si="5"/>
        <v>0.21605640571080709</v>
      </c>
      <c r="E32" s="5">
        <v>8.462383700000002</v>
      </c>
      <c r="F32" s="6">
        <f t="shared" si="4"/>
        <v>-0.48141178095054715</v>
      </c>
      <c r="G32" s="7"/>
      <c r="H32" s="7"/>
    </row>
    <row r="33" spans="1:8" x14ac:dyDescent="0.3">
      <c r="A33" s="5" t="s">
        <v>23</v>
      </c>
      <c r="B33" s="5">
        <v>14.17052530000001</v>
      </c>
      <c r="C33" s="5">
        <v>12.343036300000009</v>
      </c>
      <c r="D33" s="6">
        <f t="shared" si="5"/>
        <v>-0.12896409704727038</v>
      </c>
      <c r="E33" s="5">
        <v>7.9074053000000051</v>
      </c>
      <c r="F33" s="6">
        <f t="shared" si="4"/>
        <v>-0.35936303614370801</v>
      </c>
      <c r="G33" s="7"/>
      <c r="H33" s="7"/>
    </row>
    <row r="34" spans="1:8" x14ac:dyDescent="0.3">
      <c r="A34" s="5" t="s">
        <v>8</v>
      </c>
      <c r="B34" s="5">
        <v>22.208957999999992</v>
      </c>
      <c r="C34" s="5">
        <v>23.929858900000003</v>
      </c>
      <c r="D34" s="6">
        <f t="shared" si="5"/>
        <v>7.7486791591033291E-2</v>
      </c>
      <c r="E34" s="5">
        <v>6.5012391000000012</v>
      </c>
      <c r="F34" s="6">
        <f t="shared" si="4"/>
        <v>-0.72832104329708347</v>
      </c>
      <c r="G34" s="7"/>
      <c r="H34" s="7"/>
    </row>
    <row r="35" spans="1:8" x14ac:dyDescent="0.3">
      <c r="A35" s="15" t="s">
        <v>1</v>
      </c>
      <c r="B35" s="15">
        <v>217.36075220000004</v>
      </c>
      <c r="C35" s="15">
        <v>364.63633809999993</v>
      </c>
      <c r="D35" s="16">
        <f t="shared" si="5"/>
        <v>0.67756291975143368</v>
      </c>
      <c r="E35" s="15">
        <v>354.56178380000011</v>
      </c>
      <c r="F35" s="16">
        <f t="shared" si="4"/>
        <v>-2.7629046387683157E-2</v>
      </c>
      <c r="G35" s="17"/>
      <c r="H35" s="17"/>
    </row>
    <row r="36" spans="1:8" x14ac:dyDescent="0.3">
      <c r="B36"/>
      <c r="C36"/>
      <c r="D36"/>
      <c r="E36"/>
    </row>
    <row r="37" spans="1:8" x14ac:dyDescent="0.3">
      <c r="A37" s="10" t="s">
        <v>39</v>
      </c>
      <c r="B37"/>
      <c r="C37"/>
      <c r="D37"/>
      <c r="E37"/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15</v>
      </c>
      <c r="B39" s="5">
        <v>1045.6908208000002</v>
      </c>
      <c r="C39" s="5">
        <v>1571.7787765999999</v>
      </c>
      <c r="D39" s="6">
        <f t="shared" ref="D39:D44" si="6">(C39-B39)/B39</f>
        <v>0.50310086436210555</v>
      </c>
      <c r="E39" s="5">
        <v>1713.0676289000005</v>
      </c>
      <c r="F39" s="6">
        <f t="shared" ref="F39:F44" si="7">(E39-C39)/C39</f>
        <v>8.9891054901269377E-2</v>
      </c>
      <c r="G39" s="7"/>
      <c r="H39" s="7"/>
    </row>
    <row r="40" spans="1:8" x14ac:dyDescent="0.3">
      <c r="A40" s="5" t="s">
        <v>19</v>
      </c>
      <c r="B40" s="5">
        <v>202.8944674</v>
      </c>
      <c r="C40" s="5">
        <v>270.55855960000002</v>
      </c>
      <c r="D40" s="6">
        <f t="shared" si="6"/>
        <v>0.33349402311006549</v>
      </c>
      <c r="E40" s="5">
        <v>699.95437840000022</v>
      </c>
      <c r="F40" s="6">
        <f t="shared" si="7"/>
        <v>1.5870716470209956</v>
      </c>
      <c r="G40" s="7"/>
      <c r="H40" s="7"/>
    </row>
    <row r="41" spans="1:8" x14ac:dyDescent="0.3">
      <c r="A41" s="5" t="s">
        <v>26</v>
      </c>
      <c r="B41" s="5">
        <v>257.72908550000011</v>
      </c>
      <c r="C41" s="5">
        <v>314.99528510000005</v>
      </c>
      <c r="D41" s="6">
        <f t="shared" si="6"/>
        <v>0.22219533153932644</v>
      </c>
      <c r="E41" s="5">
        <v>491.82804449999986</v>
      </c>
      <c r="F41" s="6">
        <f t="shared" si="7"/>
        <v>0.56138224209883514</v>
      </c>
      <c r="G41" s="7"/>
      <c r="H41" s="7"/>
    </row>
    <row r="42" spans="1:8" x14ac:dyDescent="0.3">
      <c r="A42" s="5" t="s">
        <v>27</v>
      </c>
      <c r="B42" s="5">
        <v>61.432325400000011</v>
      </c>
      <c r="C42" s="5">
        <v>54.808824199999989</v>
      </c>
      <c r="D42" s="6">
        <f t="shared" si="6"/>
        <v>-0.107817849265397</v>
      </c>
      <c r="E42" s="5">
        <v>67.773425299999985</v>
      </c>
      <c r="F42" s="6">
        <f t="shared" si="7"/>
        <v>0.23654222270289094</v>
      </c>
      <c r="G42" s="7"/>
      <c r="H42" s="7"/>
    </row>
    <row r="43" spans="1:8" x14ac:dyDescent="0.3">
      <c r="A43" s="5" t="s">
        <v>30</v>
      </c>
      <c r="B43" s="5">
        <v>0</v>
      </c>
      <c r="C43" s="5">
        <v>0</v>
      </c>
      <c r="D43" s="6" t="e">
        <f t="shared" si="6"/>
        <v>#DIV/0!</v>
      </c>
      <c r="E43" s="5">
        <v>38.674069500000002</v>
      </c>
      <c r="F43" s="6" t="e">
        <f t="shared" si="7"/>
        <v>#DIV/0!</v>
      </c>
      <c r="G43" s="7"/>
      <c r="H43" s="7"/>
    </row>
    <row r="44" spans="1:8" x14ac:dyDescent="0.3">
      <c r="A44" s="15" t="s">
        <v>1</v>
      </c>
      <c r="B44" s="15">
        <v>1567.7466991000003</v>
      </c>
      <c r="C44" s="15">
        <v>2212.1414454999999</v>
      </c>
      <c r="D44" s="16">
        <f t="shared" si="6"/>
        <v>0.41103243704479087</v>
      </c>
      <c r="E44" s="15">
        <v>3011.2975466000003</v>
      </c>
      <c r="F44" s="16">
        <f t="shared" si="7"/>
        <v>0.36125904278212684</v>
      </c>
      <c r="G44" s="17"/>
      <c r="H44" s="17"/>
    </row>
    <row r="45" spans="1:8" x14ac:dyDescent="0.3">
      <c r="A45" s="1"/>
      <c r="B45" s="1"/>
      <c r="C45" s="1"/>
      <c r="D45" s="3"/>
      <c r="E45" s="1"/>
      <c r="F45" s="3"/>
    </row>
    <row r="46" spans="1:8" x14ac:dyDescent="0.3">
      <c r="A46" s="12" t="s">
        <v>40</v>
      </c>
      <c r="B46"/>
      <c r="C46"/>
      <c r="D46"/>
      <c r="E46"/>
    </row>
    <row r="47" spans="1:8" x14ac:dyDescent="0.3">
      <c r="A47" s="4" t="s">
        <v>0</v>
      </c>
      <c r="B47" s="4" t="s">
        <v>41</v>
      </c>
      <c r="C47" s="4" t="s">
        <v>42</v>
      </c>
      <c r="D47" s="4" t="s">
        <v>33</v>
      </c>
      <c r="E47" s="4" t="s">
        <v>44</v>
      </c>
      <c r="F47" s="4" t="s">
        <v>34</v>
      </c>
      <c r="G47" s="4" t="s">
        <v>31</v>
      </c>
      <c r="H47" s="4" t="s">
        <v>32</v>
      </c>
    </row>
    <row r="48" spans="1:8" x14ac:dyDescent="0.3">
      <c r="A48" s="5" t="s">
        <v>28</v>
      </c>
      <c r="B48" s="5">
        <v>143.26845979999999</v>
      </c>
      <c r="C48" s="5">
        <v>173.88818850000001</v>
      </c>
      <c r="D48" s="6">
        <f t="shared" ref="D48:D51" si="8">(C48-B48)/B48</f>
        <v>0.21372274639334141</v>
      </c>
      <c r="E48" s="5">
        <v>190.23030160000005</v>
      </c>
      <c r="F48" s="6">
        <f t="shared" ref="F48:F51" si="9">(E48-C48)/C48</f>
        <v>9.3980581665557075E-2</v>
      </c>
      <c r="G48" s="7"/>
      <c r="H48" s="7"/>
    </row>
    <row r="49" spans="1:8" x14ac:dyDescent="0.3">
      <c r="A49" s="5" t="s">
        <v>26</v>
      </c>
      <c r="B49" s="5">
        <v>7.6075999999999997</v>
      </c>
      <c r="C49" s="5">
        <v>47.377690000000001</v>
      </c>
      <c r="D49" s="6">
        <f t="shared" si="8"/>
        <v>5.2276789000473221</v>
      </c>
      <c r="E49" s="5">
        <v>113.5938886</v>
      </c>
      <c r="F49" s="6">
        <f t="shared" si="9"/>
        <v>1.3976240420332862</v>
      </c>
      <c r="G49" s="7"/>
      <c r="H49" s="7"/>
    </row>
    <row r="50" spans="1:8" x14ac:dyDescent="0.3">
      <c r="A50" s="5" t="s">
        <v>29</v>
      </c>
      <c r="B50" s="5">
        <v>-1.7100199999999999E-2</v>
      </c>
      <c r="C50" s="5">
        <v>0</v>
      </c>
      <c r="D50" s="6">
        <f t="shared" si="8"/>
        <v>-1</v>
      </c>
      <c r="E50" s="5">
        <v>0</v>
      </c>
      <c r="F50" s="6" t="e">
        <f t="shared" si="9"/>
        <v>#DIV/0!</v>
      </c>
      <c r="G50" s="7"/>
      <c r="H50" s="7"/>
    </row>
    <row r="51" spans="1:8" x14ac:dyDescent="0.3">
      <c r="A51" s="15" t="s">
        <v>1</v>
      </c>
      <c r="B51" s="15">
        <v>150.85895959999999</v>
      </c>
      <c r="C51" s="15">
        <v>221.26587850000001</v>
      </c>
      <c r="D51" s="16">
        <f t="shared" si="8"/>
        <v>0.46670691012772986</v>
      </c>
      <c r="E51" s="15">
        <v>303.82419020000003</v>
      </c>
      <c r="F51" s="16">
        <f t="shared" si="9"/>
        <v>0.37311813398286808</v>
      </c>
      <c r="G51" s="17"/>
      <c r="H51" s="17"/>
    </row>
    <row r="52" spans="1:8" x14ac:dyDescent="0.3">
      <c r="B52"/>
      <c r="C52"/>
      <c r="D52"/>
      <c r="E52"/>
    </row>
    <row r="53" spans="1:8" x14ac:dyDescent="0.3">
      <c r="B53"/>
      <c r="C53"/>
      <c r="D53"/>
      <c r="E53"/>
    </row>
    <row r="54" spans="1:8" x14ac:dyDescent="0.3">
      <c r="B54"/>
      <c r="C54"/>
      <c r="D54"/>
      <c r="E54"/>
    </row>
    <row r="55" spans="1:8" x14ac:dyDescent="0.3">
      <c r="B55"/>
      <c r="C55"/>
      <c r="D55"/>
      <c r="E55"/>
    </row>
    <row r="56" spans="1:8" x14ac:dyDescent="0.3">
      <c r="B56"/>
      <c r="C56"/>
      <c r="D56"/>
      <c r="E56"/>
    </row>
    <row r="57" spans="1:8" x14ac:dyDescent="0.3">
      <c r="B57"/>
      <c r="C57"/>
      <c r="D57"/>
      <c r="E57"/>
    </row>
    <row r="58" spans="1:8" x14ac:dyDescent="0.3">
      <c r="B58"/>
      <c r="C58"/>
      <c r="D58"/>
      <c r="E58"/>
    </row>
    <row r="59" spans="1:8" x14ac:dyDescent="0.3">
      <c r="B59"/>
      <c r="C59"/>
      <c r="D59"/>
      <c r="E59"/>
    </row>
    <row r="60" spans="1:8" x14ac:dyDescent="0.3">
      <c r="B60"/>
      <c r="C60"/>
      <c r="D60"/>
      <c r="E60"/>
    </row>
    <row r="61" spans="1:8" x14ac:dyDescent="0.3">
      <c r="B61"/>
      <c r="C61"/>
      <c r="D61"/>
      <c r="E61"/>
    </row>
    <row r="62" spans="1:8" x14ac:dyDescent="0.3">
      <c r="B62"/>
      <c r="C62"/>
      <c r="D62"/>
      <c r="E62"/>
    </row>
    <row r="63" spans="1:8" x14ac:dyDescent="0.3">
      <c r="B63"/>
      <c r="C63"/>
      <c r="D63"/>
      <c r="E63"/>
    </row>
    <row r="64" spans="1:8" x14ac:dyDescent="0.3">
      <c r="B64"/>
      <c r="C64"/>
      <c r="D64"/>
      <c r="E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2C3-97AE-4030-957E-CEF7E8C4C9BA}">
  <dimension ref="A1:K48"/>
  <sheetViews>
    <sheetView workbookViewId="0">
      <selection activeCell="E26" sqref="E26"/>
    </sheetView>
  </sheetViews>
  <sheetFormatPr defaultRowHeight="14.4" x14ac:dyDescent="0.3"/>
  <cols>
    <col min="1" max="1" width="14.5546875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5546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1" x14ac:dyDescent="0.3">
      <c r="A2" s="5" t="s">
        <v>18</v>
      </c>
      <c r="B2" s="5">
        <v>245.11096620000001</v>
      </c>
      <c r="C2" s="5">
        <v>632.36371269999995</v>
      </c>
      <c r="D2" s="6">
        <f>(C2-B2)/B2</f>
        <v>1.5799078780670235</v>
      </c>
      <c r="E2" s="5">
        <v>799.40413680000006</v>
      </c>
      <c r="F2" s="6">
        <f>(E2-C2)/C2</f>
        <v>0.26415245015687017</v>
      </c>
      <c r="G2" s="7"/>
      <c r="H2" s="5">
        <f>G2+E2</f>
        <v>799.40413680000006</v>
      </c>
      <c r="K2">
        <v>100000</v>
      </c>
    </row>
    <row r="3" spans="1:11" x14ac:dyDescent="0.3">
      <c r="A3" s="5" t="s">
        <v>2</v>
      </c>
      <c r="B3" s="5">
        <v>115.04085250000001</v>
      </c>
      <c r="C3" s="5">
        <v>178.05412639999986</v>
      </c>
      <c r="D3" s="6">
        <f t="shared" ref="D3:D6" si="0">(C3-B3)/B3</f>
        <v>0.54774693103043404</v>
      </c>
      <c r="E3" s="5">
        <v>183.57135110000021</v>
      </c>
      <c r="F3" s="6">
        <f t="shared" ref="F3:F6" si="1">(E3-C3)/C3</f>
        <v>3.0986222063766559E-2</v>
      </c>
      <c r="G3" s="7"/>
      <c r="H3" s="5">
        <f>G3+E3</f>
        <v>183.57135110000021</v>
      </c>
    </row>
    <row r="4" spans="1:11" x14ac:dyDescent="0.3">
      <c r="A4" s="5" t="s">
        <v>10</v>
      </c>
      <c r="B4" s="5">
        <v>13.939237500000003</v>
      </c>
      <c r="C4" s="5">
        <v>34.686380899999982</v>
      </c>
      <c r="D4" s="6">
        <f t="shared" si="0"/>
        <v>1.4883987305618385</v>
      </c>
      <c r="E4" s="5">
        <v>51.831751599999947</v>
      </c>
      <c r="F4" s="6">
        <f t="shared" si="1"/>
        <v>0.49429690429306145</v>
      </c>
      <c r="G4" s="7"/>
      <c r="H4" s="5">
        <f>G4+E4</f>
        <v>51.831751599999947</v>
      </c>
    </row>
    <row r="5" spans="1:11" x14ac:dyDescent="0.3">
      <c r="A5" s="5" t="s">
        <v>25</v>
      </c>
      <c r="B5" s="5">
        <v>0.33600379999999996</v>
      </c>
      <c r="C5" s="5">
        <v>3.7254999999999998</v>
      </c>
      <c r="D5" s="6">
        <f t="shared" si="0"/>
        <v>10.087672222754625</v>
      </c>
      <c r="E5" s="5">
        <v>6.6373805000000008</v>
      </c>
      <c r="F5" s="6">
        <f t="shared" si="1"/>
        <v>0.78160797208428434</v>
      </c>
      <c r="G5" s="7"/>
      <c r="H5" s="5">
        <f>G5+E5</f>
        <v>6.6373805000000008</v>
      </c>
    </row>
    <row r="6" spans="1:11" x14ac:dyDescent="0.3">
      <c r="A6" s="15" t="s">
        <v>1</v>
      </c>
      <c r="B6" s="15">
        <v>374.42705999999998</v>
      </c>
      <c r="C6" s="15">
        <v>848.82971999999984</v>
      </c>
      <c r="D6" s="16">
        <f t="shared" si="0"/>
        <v>1.2670095478676138</v>
      </c>
      <c r="E6" s="15">
        <v>1041.4446200000002</v>
      </c>
      <c r="F6" s="16">
        <f t="shared" si="1"/>
        <v>0.2269181856639049</v>
      </c>
      <c r="G6" s="17"/>
      <c r="H6" s="15">
        <f>G6+E6</f>
        <v>1041.4446200000002</v>
      </c>
    </row>
    <row r="8" spans="1:11" x14ac:dyDescent="0.3">
      <c r="A8" s="10" t="s">
        <v>37</v>
      </c>
    </row>
    <row r="9" spans="1:11" x14ac:dyDescent="0.3">
      <c r="A9" s="8" t="s">
        <v>0</v>
      </c>
      <c r="B9" s="8" t="s">
        <v>41</v>
      </c>
      <c r="C9" s="8" t="s">
        <v>42</v>
      </c>
      <c r="D9" s="4" t="s">
        <v>33</v>
      </c>
      <c r="E9" s="8" t="s">
        <v>44</v>
      </c>
      <c r="F9" s="4" t="s">
        <v>34</v>
      </c>
      <c r="G9" s="4" t="s">
        <v>31</v>
      </c>
      <c r="H9" s="4" t="s">
        <v>32</v>
      </c>
    </row>
    <row r="10" spans="1:11" x14ac:dyDescent="0.3">
      <c r="A10" s="7" t="s">
        <v>8</v>
      </c>
      <c r="B10" s="5">
        <v>38.518272199999998</v>
      </c>
      <c r="C10" s="5">
        <v>72.621691700000014</v>
      </c>
      <c r="D10" s="6">
        <f t="shared" ref="D10:D24" si="2">(C10-B10)/B10</f>
        <v>0.88538289887260357</v>
      </c>
      <c r="E10" s="5">
        <v>50.902198500000004</v>
      </c>
      <c r="F10" s="6">
        <f t="shared" ref="F10:F24" si="3">(E10-C10)/C10</f>
        <v>-0.29907721359236811</v>
      </c>
      <c r="G10" s="7"/>
      <c r="H10" s="5">
        <f t="shared" ref="H10:H24" si="4">G10+E10</f>
        <v>50.902198500000004</v>
      </c>
    </row>
    <row r="11" spans="1:11" x14ac:dyDescent="0.3">
      <c r="A11" s="7" t="s">
        <v>5</v>
      </c>
      <c r="B11" s="5">
        <v>7.8176930999999996</v>
      </c>
      <c r="C11" s="5">
        <v>21.901035099999998</v>
      </c>
      <c r="D11" s="6">
        <f t="shared" si="2"/>
        <v>1.8014703084212911</v>
      </c>
      <c r="E11" s="5">
        <v>46.58553950000001</v>
      </c>
      <c r="F11" s="6">
        <f t="shared" si="3"/>
        <v>1.1270930477619305</v>
      </c>
      <c r="G11" s="7"/>
      <c r="H11" s="5">
        <f t="shared" si="4"/>
        <v>46.58553950000001</v>
      </c>
    </row>
    <row r="12" spans="1:11" x14ac:dyDescent="0.3">
      <c r="A12" s="7" t="s">
        <v>4</v>
      </c>
      <c r="B12" s="5">
        <v>19.723980599999997</v>
      </c>
      <c r="C12" s="5">
        <v>34.046136100000012</v>
      </c>
      <c r="D12" s="6">
        <f t="shared" si="2"/>
        <v>0.72612906037841152</v>
      </c>
      <c r="E12" s="5">
        <v>34.722491300000002</v>
      </c>
      <c r="F12" s="6">
        <f t="shared" si="3"/>
        <v>1.9865843160980279E-2</v>
      </c>
      <c r="G12" s="7"/>
      <c r="H12" s="5">
        <f t="shared" si="4"/>
        <v>34.722491300000002</v>
      </c>
    </row>
    <row r="13" spans="1:11" x14ac:dyDescent="0.3">
      <c r="A13" s="7" t="s">
        <v>17</v>
      </c>
      <c r="B13" s="5">
        <v>15.540825699999999</v>
      </c>
      <c r="C13" s="5">
        <v>9.2191155999999985</v>
      </c>
      <c r="D13" s="6">
        <f t="shared" si="2"/>
        <v>-0.40678083790618674</v>
      </c>
      <c r="E13" s="5">
        <v>18.3412264</v>
      </c>
      <c r="F13" s="6">
        <f t="shared" si="3"/>
        <v>0.98947786271385973</v>
      </c>
      <c r="G13" s="7"/>
      <c r="H13" s="5">
        <f t="shared" si="4"/>
        <v>18.3412264</v>
      </c>
    </row>
    <row r="14" spans="1:11" x14ac:dyDescent="0.3">
      <c r="A14" s="7" t="s">
        <v>9</v>
      </c>
      <c r="B14" s="5">
        <v>10.503382599999998</v>
      </c>
      <c r="C14" s="5">
        <v>15.213352500000004</v>
      </c>
      <c r="D14" s="6">
        <f t="shared" si="2"/>
        <v>0.44842410101294483</v>
      </c>
      <c r="E14" s="5">
        <v>15.451007000000002</v>
      </c>
      <c r="F14" s="6">
        <f t="shared" si="3"/>
        <v>1.5621441756509475E-2</v>
      </c>
      <c r="G14" s="7"/>
      <c r="H14" s="5">
        <f t="shared" si="4"/>
        <v>15.451007000000002</v>
      </c>
    </row>
    <row r="15" spans="1:11" x14ac:dyDescent="0.3">
      <c r="A15" s="7" t="s">
        <v>12</v>
      </c>
      <c r="B15" s="5">
        <v>3.4673376000000005</v>
      </c>
      <c r="C15" s="5">
        <v>5.3142255999999994</v>
      </c>
      <c r="D15" s="6">
        <f t="shared" si="2"/>
        <v>0.53265306499142129</v>
      </c>
      <c r="E15" s="5">
        <v>5.2584332000000007</v>
      </c>
      <c r="F15" s="6">
        <f t="shared" si="3"/>
        <v>-1.0498688651832686E-2</v>
      </c>
      <c r="G15" s="7"/>
      <c r="H15" s="5">
        <f t="shared" si="4"/>
        <v>5.2584332000000007</v>
      </c>
    </row>
    <row r="16" spans="1:11" x14ac:dyDescent="0.3">
      <c r="A16" s="7" t="s">
        <v>7</v>
      </c>
      <c r="B16" s="5">
        <v>3.0388430000000004</v>
      </c>
      <c r="C16" s="5">
        <v>3.5797483000000003</v>
      </c>
      <c r="D16" s="6">
        <f t="shared" si="2"/>
        <v>0.17799711929836448</v>
      </c>
      <c r="E16" s="5">
        <v>3.8596312000000013</v>
      </c>
      <c r="F16" s="6">
        <f t="shared" si="3"/>
        <v>7.8185077984393739E-2</v>
      </c>
      <c r="G16" s="7"/>
      <c r="H16" s="5">
        <f t="shared" si="4"/>
        <v>3.8596312000000013</v>
      </c>
    </row>
    <row r="17" spans="1:8" x14ac:dyDescent="0.3">
      <c r="A17" s="7" t="s">
        <v>13</v>
      </c>
      <c r="B17" s="5">
        <v>8.7334649999999971</v>
      </c>
      <c r="C17" s="5">
        <v>5.4616795000000007</v>
      </c>
      <c r="D17" s="6">
        <f t="shared" si="2"/>
        <v>-0.3746262794892975</v>
      </c>
      <c r="E17" s="5">
        <v>3.1844730999999999</v>
      </c>
      <c r="F17" s="6">
        <f t="shared" si="3"/>
        <v>-0.41694251740696253</v>
      </c>
      <c r="G17" s="7"/>
      <c r="H17" s="5">
        <f t="shared" si="4"/>
        <v>3.1844730999999999</v>
      </c>
    </row>
    <row r="18" spans="1:8" x14ac:dyDescent="0.3">
      <c r="A18" s="7" t="s">
        <v>3</v>
      </c>
      <c r="B18" s="5">
        <v>5.222702700000001</v>
      </c>
      <c r="C18" s="5">
        <v>6.7771035000000008</v>
      </c>
      <c r="D18" s="6">
        <f t="shared" si="2"/>
        <v>0.29762383372884682</v>
      </c>
      <c r="E18" s="5">
        <v>1.8797537000000002</v>
      </c>
      <c r="F18" s="6">
        <f t="shared" si="3"/>
        <v>-0.722631696564764</v>
      </c>
      <c r="G18" s="7"/>
      <c r="H18" s="5">
        <f t="shared" si="4"/>
        <v>1.8797537000000002</v>
      </c>
    </row>
    <row r="19" spans="1:8" x14ac:dyDescent="0.3">
      <c r="A19" s="7" t="s">
        <v>24</v>
      </c>
      <c r="B19" s="5">
        <v>0</v>
      </c>
      <c r="C19" s="5">
        <v>1.3851922000000001</v>
      </c>
      <c r="D19" s="6" t="e">
        <f t="shared" si="2"/>
        <v>#DIV/0!</v>
      </c>
      <c r="E19" s="5">
        <v>0.87674009999999991</v>
      </c>
      <c r="F19" s="6">
        <f t="shared" si="3"/>
        <v>-0.36706249140011049</v>
      </c>
      <c r="G19" s="7"/>
      <c r="H19" s="5">
        <f t="shared" si="4"/>
        <v>0.87674009999999991</v>
      </c>
    </row>
    <row r="20" spans="1:8" x14ac:dyDescent="0.3">
      <c r="A20" s="7" t="s">
        <v>16</v>
      </c>
      <c r="B20" s="5">
        <v>0.75483010000000006</v>
      </c>
      <c r="C20" s="5">
        <v>0.72405319999999995</v>
      </c>
      <c r="D20" s="6">
        <f t="shared" si="2"/>
        <v>-4.0773281298665892E-2</v>
      </c>
      <c r="E20" s="5">
        <v>0.82566209999999995</v>
      </c>
      <c r="F20" s="6">
        <f t="shared" si="3"/>
        <v>0.1403334727337715</v>
      </c>
      <c r="G20" s="7"/>
      <c r="H20" s="5">
        <f t="shared" si="4"/>
        <v>0.82566209999999995</v>
      </c>
    </row>
    <row r="21" spans="1:8" x14ac:dyDescent="0.3">
      <c r="A21" s="7" t="s">
        <v>6</v>
      </c>
      <c r="B21" s="5">
        <v>0.65864740000000011</v>
      </c>
      <c r="C21" s="5">
        <v>0.74046780000000001</v>
      </c>
      <c r="D21" s="6">
        <f t="shared" si="2"/>
        <v>0.12422488876445863</v>
      </c>
      <c r="E21" s="5">
        <v>0.76798489999999986</v>
      </c>
      <c r="F21" s="6">
        <f t="shared" si="3"/>
        <v>3.7161778000339582E-2</v>
      </c>
      <c r="G21" s="7"/>
      <c r="H21" s="5">
        <f t="shared" si="4"/>
        <v>0.76798489999999986</v>
      </c>
    </row>
    <row r="22" spans="1:8" x14ac:dyDescent="0.3">
      <c r="A22" s="7" t="s">
        <v>21</v>
      </c>
      <c r="B22" s="5">
        <v>0.5608339</v>
      </c>
      <c r="C22" s="5">
        <v>0.69322159999999999</v>
      </c>
      <c r="D22" s="6">
        <f t="shared" si="2"/>
        <v>0.23605509581357331</v>
      </c>
      <c r="E22" s="5">
        <v>0.7509701999999997</v>
      </c>
      <c r="F22" s="6">
        <f t="shared" si="3"/>
        <v>8.330467486875727E-2</v>
      </c>
      <c r="G22" s="7"/>
      <c r="H22" s="5">
        <f t="shared" si="4"/>
        <v>0.7509701999999997</v>
      </c>
    </row>
    <row r="23" spans="1:8" x14ac:dyDescent="0.3">
      <c r="A23" s="7" t="s">
        <v>20</v>
      </c>
      <c r="B23" s="5">
        <v>0.5000386</v>
      </c>
      <c r="C23" s="5">
        <v>0.37710370000000004</v>
      </c>
      <c r="D23" s="6">
        <f t="shared" si="2"/>
        <v>-0.24585082031667146</v>
      </c>
      <c r="E23" s="5">
        <v>0.16523989999999997</v>
      </c>
      <c r="F23" s="6">
        <f t="shared" si="3"/>
        <v>-0.56181840697930052</v>
      </c>
      <c r="G23" s="7"/>
      <c r="H23" s="5">
        <f t="shared" si="4"/>
        <v>0.16523989999999997</v>
      </c>
    </row>
    <row r="24" spans="1:8" x14ac:dyDescent="0.3">
      <c r="A24" s="17" t="s">
        <v>1</v>
      </c>
      <c r="B24" s="15">
        <v>115.0408525</v>
      </c>
      <c r="C24" s="15">
        <v>178.0541264</v>
      </c>
      <c r="D24" s="16">
        <f t="shared" si="2"/>
        <v>0.54774693103043548</v>
      </c>
      <c r="E24" s="15">
        <v>183.57135110000004</v>
      </c>
      <c r="F24" s="16">
        <f t="shared" si="3"/>
        <v>3.0986222063764775E-2</v>
      </c>
      <c r="G24" s="17"/>
      <c r="H24" s="15">
        <f t="shared" si="4"/>
        <v>183.57135110000004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9.0832632000000011</v>
      </c>
      <c r="C28" s="5">
        <v>28.517796300000001</v>
      </c>
      <c r="D28" s="6">
        <f t="shared" ref="D28:D36" si="5">(C28-B28)/B28</f>
        <v>2.1395981457412789</v>
      </c>
      <c r="E28" s="5">
        <v>47.733265299999978</v>
      </c>
      <c r="F28" s="6">
        <f t="shared" ref="F28:F36" si="6">(E28-C28)/C28</f>
        <v>0.67380623656393734</v>
      </c>
      <c r="G28" s="7"/>
      <c r="H28" s="5">
        <f t="shared" ref="H28:H35" si="7">G28+E28</f>
        <v>47.733265299999978</v>
      </c>
    </row>
    <row r="29" spans="1:8" x14ac:dyDescent="0.3">
      <c r="A29" s="5" t="s">
        <v>11</v>
      </c>
      <c r="B29" s="5">
        <v>1.9607488</v>
      </c>
      <c r="C29" s="5">
        <v>2.7883073999999994</v>
      </c>
      <c r="D29" s="6">
        <f t="shared" si="5"/>
        <v>0.42206253039655028</v>
      </c>
      <c r="E29" s="5">
        <v>1.9488653</v>
      </c>
      <c r="F29" s="6">
        <f t="shared" si="6"/>
        <v>-0.30105794648036283</v>
      </c>
      <c r="G29" s="7"/>
      <c r="H29" s="5">
        <f t="shared" si="7"/>
        <v>1.9488653</v>
      </c>
    </row>
    <row r="30" spans="1:8" x14ac:dyDescent="0.3">
      <c r="A30" s="5" t="s">
        <v>23</v>
      </c>
      <c r="B30" s="5">
        <v>2.1717924000000006</v>
      </c>
      <c r="C30" s="5">
        <v>1.7959789000000002</v>
      </c>
      <c r="D30" s="6">
        <f t="shared" si="5"/>
        <v>-0.17304301276678211</v>
      </c>
      <c r="E30" s="5">
        <v>1.1618868999999998</v>
      </c>
      <c r="F30" s="6">
        <f t="shared" si="6"/>
        <v>-0.35306205434818877</v>
      </c>
      <c r="G30" s="7"/>
      <c r="H30" s="5">
        <f t="shared" si="7"/>
        <v>1.1618868999999998</v>
      </c>
    </row>
    <row r="31" spans="1:8" x14ac:dyDescent="0.3">
      <c r="A31" s="5" t="s">
        <v>8</v>
      </c>
      <c r="B31" s="5">
        <v>0.33008760000000004</v>
      </c>
      <c r="C31" s="5">
        <v>0.34362589999999998</v>
      </c>
      <c r="D31" s="6">
        <f t="shared" si="5"/>
        <v>4.101426409231957E-2</v>
      </c>
      <c r="E31" s="5">
        <v>0.43096939999999995</v>
      </c>
      <c r="F31" s="6">
        <f t="shared" si="6"/>
        <v>0.25418194612222178</v>
      </c>
      <c r="G31" s="7"/>
      <c r="H31" s="5">
        <f t="shared" si="7"/>
        <v>0.43096939999999995</v>
      </c>
    </row>
    <row r="32" spans="1:8" x14ac:dyDescent="0.3">
      <c r="A32" s="5" t="s">
        <v>5</v>
      </c>
      <c r="B32" s="5">
        <v>0.14161609999999999</v>
      </c>
      <c r="C32" s="5">
        <v>0.51957650000000011</v>
      </c>
      <c r="D32" s="6">
        <f t="shared" si="5"/>
        <v>2.6689084080129315</v>
      </c>
      <c r="E32" s="5">
        <v>0.2202334</v>
      </c>
      <c r="F32" s="6">
        <f t="shared" si="6"/>
        <v>-0.57612902046185699</v>
      </c>
      <c r="G32" s="7"/>
      <c r="H32" s="5">
        <f t="shared" si="7"/>
        <v>0.2202334</v>
      </c>
    </row>
    <row r="33" spans="1:8" x14ac:dyDescent="0.3">
      <c r="A33" s="5" t="s">
        <v>4</v>
      </c>
      <c r="B33" s="5">
        <v>0.17754529999999999</v>
      </c>
      <c r="C33" s="5">
        <v>0.5426970000000001</v>
      </c>
      <c r="D33" s="6">
        <f t="shared" si="5"/>
        <v>2.0566677912622868</v>
      </c>
      <c r="E33" s="5">
        <v>0.20842579999999999</v>
      </c>
      <c r="F33" s="6">
        <f t="shared" si="6"/>
        <v>-0.61594444045203867</v>
      </c>
      <c r="G33" s="7"/>
      <c r="H33" s="5">
        <f t="shared" si="7"/>
        <v>0.20842579999999999</v>
      </c>
    </row>
    <row r="34" spans="1:8" x14ac:dyDescent="0.3">
      <c r="A34" s="5" t="s">
        <v>22</v>
      </c>
      <c r="B34" s="5">
        <v>7.4184100000000003E-2</v>
      </c>
      <c r="C34" s="5">
        <v>0.1783989</v>
      </c>
      <c r="D34" s="6">
        <f t="shared" si="5"/>
        <v>1.4048131607716476</v>
      </c>
      <c r="E34" s="5">
        <v>0.12810550000000004</v>
      </c>
      <c r="F34" s="6">
        <f t="shared" si="6"/>
        <v>-0.28191541539774045</v>
      </c>
      <c r="G34" s="7"/>
      <c r="H34" s="5">
        <f t="shared" si="7"/>
        <v>0.12810550000000004</v>
      </c>
    </row>
    <row r="35" spans="1:8" x14ac:dyDescent="0.3">
      <c r="A35" s="15" t="s">
        <v>1</v>
      </c>
      <c r="B35" s="15">
        <v>13.939237500000001</v>
      </c>
      <c r="C35" s="15">
        <v>34.686380899999996</v>
      </c>
      <c r="D35" s="16">
        <f t="shared" si="5"/>
        <v>1.4883987305618398</v>
      </c>
      <c r="E35" s="15">
        <v>51.831751599999983</v>
      </c>
      <c r="F35" s="16">
        <f t="shared" si="6"/>
        <v>0.49429690429306183</v>
      </c>
      <c r="G35" s="17"/>
      <c r="H35" s="15">
        <f t="shared" si="7"/>
        <v>51.831751599999983</v>
      </c>
    </row>
    <row r="36" spans="1:8" x14ac:dyDescent="0.3">
      <c r="B36">
        <v>0</v>
      </c>
      <c r="C36">
        <v>0</v>
      </c>
      <c r="D36" s="3" t="e">
        <f t="shared" si="5"/>
        <v>#DIV/0!</v>
      </c>
      <c r="E36">
        <v>0</v>
      </c>
      <c r="F36" s="3" t="e">
        <f t="shared" si="6"/>
        <v>#DIV/0!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15</v>
      </c>
      <c r="B39" s="5">
        <v>213.72767350000001</v>
      </c>
      <c r="C39" s="5">
        <v>571.5532786</v>
      </c>
      <c r="D39" s="6">
        <f t="shared" ref="D39:D42" si="8">(C39-B39)/B39</f>
        <v>1.6742127925703545</v>
      </c>
      <c r="E39" s="5">
        <v>603.42671280000002</v>
      </c>
      <c r="F39" s="6">
        <f t="shared" ref="F39:F42" si="9">(E39-C39)/C39</f>
        <v>5.5766339540686209E-2</v>
      </c>
      <c r="G39" s="7"/>
      <c r="H39" s="5">
        <f t="shared" ref="H39:H42" si="10">G39+E39</f>
        <v>603.42671280000002</v>
      </c>
    </row>
    <row r="40" spans="1:8" x14ac:dyDescent="0.3">
      <c r="A40" s="5" t="s">
        <v>19</v>
      </c>
      <c r="B40" s="5">
        <v>29.545004800000001</v>
      </c>
      <c r="C40" s="5">
        <v>57.073480000000004</v>
      </c>
      <c r="D40" s="6">
        <f t="shared" si="8"/>
        <v>0.93174718996830219</v>
      </c>
      <c r="E40" s="5">
        <v>191.10428780000001</v>
      </c>
      <c r="F40" s="6">
        <f t="shared" si="9"/>
        <v>2.348390317184093</v>
      </c>
      <c r="G40" s="7"/>
      <c r="H40" s="5">
        <f t="shared" si="10"/>
        <v>191.10428780000001</v>
      </c>
    </row>
    <row r="41" spans="1:8" x14ac:dyDescent="0.3">
      <c r="A41" s="5" t="s">
        <v>27</v>
      </c>
      <c r="B41" s="5">
        <v>1.8382879000000001</v>
      </c>
      <c r="C41" s="5">
        <v>3.7369541000000002</v>
      </c>
      <c r="D41" s="6">
        <f t="shared" si="8"/>
        <v>1.0328448552590701</v>
      </c>
      <c r="E41" s="5">
        <v>4.8731362000000003</v>
      </c>
      <c r="F41" s="6">
        <f t="shared" si="9"/>
        <v>0.30403961879007291</v>
      </c>
      <c r="G41" s="7"/>
      <c r="H41" s="5">
        <f t="shared" si="10"/>
        <v>4.8731362000000003</v>
      </c>
    </row>
    <row r="42" spans="1:8" x14ac:dyDescent="0.3">
      <c r="A42" s="15" t="s">
        <v>1</v>
      </c>
      <c r="B42" s="15">
        <v>245.11096620000001</v>
      </c>
      <c r="C42" s="15">
        <v>632.36371269999995</v>
      </c>
      <c r="D42" s="16">
        <f t="shared" si="8"/>
        <v>1.5799078780670235</v>
      </c>
      <c r="E42" s="15">
        <v>799.40413680000006</v>
      </c>
      <c r="F42" s="16">
        <f t="shared" si="9"/>
        <v>0.26415245015687017</v>
      </c>
      <c r="G42" s="17"/>
      <c r="H42" s="15">
        <f t="shared" si="10"/>
        <v>799.40413680000006</v>
      </c>
    </row>
    <row r="43" spans="1:8" x14ac:dyDescent="0.3">
      <c r="A43" s="1"/>
      <c r="B43" s="1"/>
      <c r="C43" s="1"/>
      <c r="D43" s="3"/>
      <c r="E43" s="1"/>
      <c r="F43" s="3"/>
    </row>
    <row r="44" spans="1:8" x14ac:dyDescent="0.3">
      <c r="A44" s="12" t="s">
        <v>40</v>
      </c>
    </row>
    <row r="45" spans="1:8" x14ac:dyDescent="0.3">
      <c r="A45" s="4" t="s">
        <v>0</v>
      </c>
      <c r="B45" s="4" t="s">
        <v>41</v>
      </c>
      <c r="C45" s="4" t="s">
        <v>42</v>
      </c>
      <c r="D45" s="4" t="s">
        <v>33</v>
      </c>
      <c r="E45" s="4" t="s">
        <v>44</v>
      </c>
      <c r="F45" s="4" t="s">
        <v>34</v>
      </c>
      <c r="G45" s="4" t="s">
        <v>31</v>
      </c>
      <c r="H45" s="4" t="s">
        <v>32</v>
      </c>
    </row>
    <row r="46" spans="1:8" x14ac:dyDescent="0.3">
      <c r="A46" s="5" t="s">
        <v>26</v>
      </c>
      <c r="B46" s="5">
        <v>0</v>
      </c>
      <c r="C46" s="5">
        <v>0.79800000000000004</v>
      </c>
      <c r="D46" s="6" t="e">
        <f t="shared" ref="D46:D48" si="11">(C46-B46)/B46</f>
        <v>#DIV/0!</v>
      </c>
      <c r="E46" s="5">
        <v>4.9518785999999997</v>
      </c>
      <c r="F46" s="6">
        <f t="shared" ref="F46:F48" si="12">(E46-C46)/C46</f>
        <v>5.2053616541353378</v>
      </c>
      <c r="G46" s="7"/>
      <c r="H46" s="5">
        <f t="shared" ref="H46:H48" si="13">G46+E46</f>
        <v>4.9518785999999997</v>
      </c>
    </row>
    <row r="47" spans="1:8" x14ac:dyDescent="0.3">
      <c r="A47" s="5" t="s">
        <v>28</v>
      </c>
      <c r="B47" s="5">
        <v>0.33600379999999996</v>
      </c>
      <c r="C47" s="5">
        <v>2.9275000000000002</v>
      </c>
      <c r="D47" s="6">
        <f t="shared" si="11"/>
        <v>7.7126990825699018</v>
      </c>
      <c r="E47" s="5">
        <v>1.6855019</v>
      </c>
      <c r="F47" s="6">
        <f t="shared" si="12"/>
        <v>-0.42425212638770288</v>
      </c>
      <c r="G47" s="7"/>
      <c r="H47" s="5">
        <f t="shared" si="13"/>
        <v>1.6855019</v>
      </c>
    </row>
    <row r="48" spans="1:8" x14ac:dyDescent="0.3">
      <c r="A48" s="15" t="s">
        <v>1</v>
      </c>
      <c r="B48" s="15">
        <v>0.33600379999999996</v>
      </c>
      <c r="C48" s="15">
        <v>3.7254999999999998</v>
      </c>
      <c r="D48" s="16">
        <f t="shared" si="11"/>
        <v>10.087672222754625</v>
      </c>
      <c r="E48" s="15">
        <v>6.6373805000000008</v>
      </c>
      <c r="F48" s="16">
        <f t="shared" si="12"/>
        <v>0.78160797208428434</v>
      </c>
      <c r="G48" s="17"/>
      <c r="H48" s="15">
        <f t="shared" si="13"/>
        <v>6.6373805000000008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7F4C-69FD-4D26-B828-306D62A5148A}">
  <dimension ref="A1:J51"/>
  <sheetViews>
    <sheetView workbookViewId="0">
      <selection activeCell="E57" sqref="E57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2</v>
      </c>
      <c r="B2" s="5">
        <v>231.6771861</v>
      </c>
      <c r="C2" s="5">
        <v>269.25493419999998</v>
      </c>
      <c r="D2" s="6">
        <f>(C2-B2)/B2</f>
        <v>0.16219874184668362</v>
      </c>
      <c r="E2" s="5">
        <v>289.8987731000002</v>
      </c>
      <c r="F2" s="6">
        <f>(E2-C2)/C2</f>
        <v>7.6670234331401979E-2</v>
      </c>
      <c r="G2" s="7"/>
      <c r="H2" s="5">
        <f>G2+E2</f>
        <v>289.8987731000002</v>
      </c>
      <c r="J2">
        <v>100000</v>
      </c>
    </row>
    <row r="3" spans="1:10" x14ac:dyDescent="0.3">
      <c r="A3" s="5" t="s">
        <v>18</v>
      </c>
      <c r="B3" s="5">
        <v>32.9955766</v>
      </c>
      <c r="C3" s="5">
        <v>49.154127800000005</v>
      </c>
      <c r="D3" s="6">
        <f t="shared" ref="D3:D6" si="0">(C3-B3)/B3</f>
        <v>0.48971870974971854</v>
      </c>
      <c r="E3" s="5">
        <v>138.57709569999997</v>
      </c>
      <c r="F3" s="6">
        <f t="shared" ref="F3:F6" si="1">(E3-C3)/C3</f>
        <v>1.8192361842701634</v>
      </c>
      <c r="G3" s="7"/>
      <c r="H3" s="5">
        <f>G3+E3</f>
        <v>138.57709569999997</v>
      </c>
    </row>
    <row r="4" spans="1:10" x14ac:dyDescent="0.3">
      <c r="A4" s="5" t="s">
        <v>25</v>
      </c>
      <c r="B4" s="5">
        <v>14.3652806</v>
      </c>
      <c r="C4" s="5">
        <v>54.339892599999999</v>
      </c>
      <c r="D4" s="6">
        <f t="shared" si="0"/>
        <v>2.7827240631832839</v>
      </c>
      <c r="E4" s="5">
        <v>118.91651</v>
      </c>
      <c r="F4" s="6">
        <f t="shared" si="1"/>
        <v>1.1883832357813677</v>
      </c>
      <c r="G4" s="7"/>
      <c r="H4" s="5">
        <f>G4+E4</f>
        <v>118.91651</v>
      </c>
    </row>
    <row r="5" spans="1:10" x14ac:dyDescent="0.3">
      <c r="A5" s="5" t="s">
        <v>10</v>
      </c>
      <c r="B5" s="5">
        <v>13.661776700000001</v>
      </c>
      <c r="C5" s="5">
        <v>28.596515399999994</v>
      </c>
      <c r="D5" s="6">
        <f t="shared" si="0"/>
        <v>1.0931768998976534</v>
      </c>
      <c r="E5" s="5">
        <v>55.941321199999983</v>
      </c>
      <c r="F5" s="6">
        <f t="shared" si="1"/>
        <v>0.95622859699891949</v>
      </c>
      <c r="G5" s="7"/>
      <c r="H5" s="5">
        <f>G5+E5</f>
        <v>55.941321199999983</v>
      </c>
    </row>
    <row r="6" spans="1:10" x14ac:dyDescent="0.3">
      <c r="A6" s="15" t="s">
        <v>1</v>
      </c>
      <c r="B6" s="15">
        <v>292.69981999999999</v>
      </c>
      <c r="C6" s="15">
        <v>401.34546999999992</v>
      </c>
      <c r="D6" s="16">
        <f t="shared" si="0"/>
        <v>0.37118454667993966</v>
      </c>
      <c r="E6" s="15">
        <v>603.33370000000014</v>
      </c>
      <c r="F6" s="16">
        <f t="shared" si="1"/>
        <v>0.50327771234094221</v>
      </c>
      <c r="G6" s="17"/>
      <c r="H6" s="15">
        <f>G6+E6</f>
        <v>603.33370000000014</v>
      </c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4</v>
      </c>
      <c r="B10" s="5">
        <v>153.98688480000001</v>
      </c>
      <c r="C10" s="5">
        <v>161.37577190000002</v>
      </c>
      <c r="D10" s="6">
        <f t="shared" ref="D10:D24" si="2">(C10-B10)/B10</f>
        <v>4.7983872844734661E-2</v>
      </c>
      <c r="E10" s="5">
        <v>173.083673</v>
      </c>
      <c r="F10" s="6">
        <f t="shared" ref="F10:F24" si="3">(E10-C10)/C10</f>
        <v>7.2550550569976766E-2</v>
      </c>
      <c r="G10" s="7"/>
      <c r="H10" s="5">
        <f t="shared" ref="H10:H24" si="4">G10+E10</f>
        <v>173.083673</v>
      </c>
    </row>
    <row r="11" spans="1:10" x14ac:dyDescent="0.3">
      <c r="A11" s="5" t="s">
        <v>5</v>
      </c>
      <c r="B11" s="5">
        <v>26.053487099999995</v>
      </c>
      <c r="C11" s="5">
        <v>57.111729400000016</v>
      </c>
      <c r="D11" s="6">
        <f t="shared" si="2"/>
        <v>1.1920954066835847</v>
      </c>
      <c r="E11" s="5">
        <v>51.019899600000002</v>
      </c>
      <c r="F11" s="6">
        <f t="shared" si="3"/>
        <v>-0.10666512578062488</v>
      </c>
      <c r="G11" s="7"/>
      <c r="H11" s="5">
        <f t="shared" si="4"/>
        <v>51.019899600000002</v>
      </c>
    </row>
    <row r="12" spans="1:10" x14ac:dyDescent="0.3">
      <c r="A12" s="5" t="s">
        <v>8</v>
      </c>
      <c r="B12" s="5">
        <v>19.559468199999998</v>
      </c>
      <c r="C12" s="5">
        <v>25.7996543</v>
      </c>
      <c r="D12" s="6">
        <f t="shared" si="2"/>
        <v>0.31903659323416589</v>
      </c>
      <c r="E12" s="5">
        <v>33.516780399999988</v>
      </c>
      <c r="F12" s="6">
        <f t="shared" si="3"/>
        <v>0.29911742267027147</v>
      </c>
      <c r="G12" s="7"/>
      <c r="H12" s="5">
        <f t="shared" si="4"/>
        <v>33.516780399999988</v>
      </c>
    </row>
    <row r="13" spans="1:10" x14ac:dyDescent="0.3">
      <c r="A13" s="5" t="s">
        <v>9</v>
      </c>
      <c r="B13" s="5">
        <v>12.667540000000001</v>
      </c>
      <c r="C13" s="5">
        <v>12.955268400000001</v>
      </c>
      <c r="D13" s="6">
        <f t="shared" si="2"/>
        <v>2.2713833940923071E-2</v>
      </c>
      <c r="E13" s="5">
        <v>10.9708135</v>
      </c>
      <c r="F13" s="6">
        <f t="shared" si="3"/>
        <v>-0.15317744401188949</v>
      </c>
      <c r="G13" s="7"/>
      <c r="H13" s="5">
        <f t="shared" si="4"/>
        <v>10.9708135</v>
      </c>
    </row>
    <row r="14" spans="1:10" x14ac:dyDescent="0.3">
      <c r="A14" s="5" t="s">
        <v>17</v>
      </c>
      <c r="B14" s="5">
        <v>1.9521018999999997</v>
      </c>
      <c r="C14" s="5">
        <v>3.0028405000000005</v>
      </c>
      <c r="D14" s="6">
        <f t="shared" si="2"/>
        <v>0.53826011849074118</v>
      </c>
      <c r="E14" s="5">
        <v>4.5728974999999998</v>
      </c>
      <c r="F14" s="6">
        <f t="shared" si="3"/>
        <v>0.52285727463713083</v>
      </c>
      <c r="G14" s="7"/>
      <c r="H14" s="5">
        <f t="shared" si="4"/>
        <v>4.5728974999999998</v>
      </c>
    </row>
    <row r="15" spans="1:10" x14ac:dyDescent="0.3">
      <c r="A15" s="5" t="s">
        <v>3</v>
      </c>
      <c r="B15" s="5">
        <v>1.7081289000000002</v>
      </c>
      <c r="C15" s="5">
        <v>1.2069162999999998</v>
      </c>
      <c r="D15" s="6">
        <f t="shared" si="2"/>
        <v>-0.29342785547390499</v>
      </c>
      <c r="E15" s="5">
        <v>3.2542673999999994</v>
      </c>
      <c r="F15" s="6">
        <f t="shared" si="3"/>
        <v>1.696348868600084</v>
      </c>
      <c r="G15" s="7"/>
      <c r="H15" s="5">
        <f t="shared" si="4"/>
        <v>3.2542673999999994</v>
      </c>
    </row>
    <row r="16" spans="1:10" x14ac:dyDescent="0.3">
      <c r="A16" s="5" t="s">
        <v>16</v>
      </c>
      <c r="B16" s="5">
        <v>8.377378499999999</v>
      </c>
      <c r="C16" s="5">
        <v>2.6415183</v>
      </c>
      <c r="D16" s="6">
        <f t="shared" si="2"/>
        <v>-0.68468437948697203</v>
      </c>
      <c r="E16" s="5">
        <v>2.9304034999999997</v>
      </c>
      <c r="F16" s="6">
        <f t="shared" si="3"/>
        <v>0.10936331578698498</v>
      </c>
      <c r="G16" s="7"/>
      <c r="H16" s="5">
        <f t="shared" si="4"/>
        <v>2.9304034999999997</v>
      </c>
    </row>
    <row r="17" spans="1:8" x14ac:dyDescent="0.3">
      <c r="A17" s="5" t="s">
        <v>12</v>
      </c>
      <c r="B17" s="5">
        <v>0.20042550000000003</v>
      </c>
      <c r="C17" s="5">
        <v>0.56511020000000001</v>
      </c>
      <c r="D17" s="6">
        <f t="shared" si="2"/>
        <v>1.8195524022641825</v>
      </c>
      <c r="E17" s="5">
        <v>2.6653500000000001</v>
      </c>
      <c r="F17" s="6">
        <f t="shared" si="3"/>
        <v>3.716513699451895</v>
      </c>
      <c r="G17" s="7"/>
      <c r="H17" s="5">
        <f t="shared" si="4"/>
        <v>2.6653500000000001</v>
      </c>
    </row>
    <row r="18" spans="1:8" x14ac:dyDescent="0.3">
      <c r="A18" s="5" t="s">
        <v>24</v>
      </c>
      <c r="B18" s="5">
        <v>0</v>
      </c>
      <c r="C18" s="5">
        <v>1.5138975999999997</v>
      </c>
      <c r="D18" s="6" t="e">
        <f t="shared" si="2"/>
        <v>#DIV/0!</v>
      </c>
      <c r="E18" s="5">
        <v>2.5019108999999995</v>
      </c>
      <c r="F18" s="6">
        <f t="shared" si="3"/>
        <v>0.6526288832216921</v>
      </c>
      <c r="G18" s="7"/>
      <c r="H18" s="5">
        <f t="shared" si="4"/>
        <v>2.5019108999999995</v>
      </c>
    </row>
    <row r="19" spans="1:8" x14ac:dyDescent="0.3">
      <c r="A19" s="5" t="s">
        <v>7</v>
      </c>
      <c r="B19" s="5">
        <v>1.7419495</v>
      </c>
      <c r="C19" s="5">
        <v>0.78821560000000002</v>
      </c>
      <c r="D19" s="6">
        <f t="shared" si="2"/>
        <v>-0.54750950013189248</v>
      </c>
      <c r="E19" s="5">
        <v>1.9336422</v>
      </c>
      <c r="F19" s="6">
        <f t="shared" si="3"/>
        <v>1.4531894573007689</v>
      </c>
      <c r="G19" s="7"/>
      <c r="H19" s="5">
        <f t="shared" si="4"/>
        <v>1.9336422</v>
      </c>
    </row>
    <row r="20" spans="1:8" x14ac:dyDescent="0.3">
      <c r="A20" s="5" t="s">
        <v>21</v>
      </c>
      <c r="B20" s="5">
        <v>0.790655</v>
      </c>
      <c r="C20" s="5">
        <v>0.5089477</v>
      </c>
      <c r="D20" s="6">
        <f t="shared" si="2"/>
        <v>-0.3562961089223492</v>
      </c>
      <c r="E20" s="5">
        <v>0.95754190000000006</v>
      </c>
      <c r="F20" s="6">
        <f t="shared" si="3"/>
        <v>0.88141512379366294</v>
      </c>
      <c r="G20" s="7"/>
      <c r="H20" s="5">
        <f t="shared" si="4"/>
        <v>0.95754190000000006</v>
      </c>
    </row>
    <row r="21" spans="1:8" x14ac:dyDescent="0.3">
      <c r="A21" s="5" t="s">
        <v>13</v>
      </c>
      <c r="B21" s="5">
        <v>2.2754016999999997</v>
      </c>
      <c r="C21" s="5">
        <v>0.79394549999999986</v>
      </c>
      <c r="D21" s="6">
        <f t="shared" si="2"/>
        <v>-0.65107457729331919</v>
      </c>
      <c r="E21" s="5">
        <v>0.92964080000000004</v>
      </c>
      <c r="F21" s="6">
        <f t="shared" si="3"/>
        <v>0.17091261301940777</v>
      </c>
      <c r="G21" s="7"/>
      <c r="H21" s="5">
        <f t="shared" si="4"/>
        <v>0.92964080000000004</v>
      </c>
    </row>
    <row r="22" spans="1:8" x14ac:dyDescent="0.3">
      <c r="A22" s="5" t="s">
        <v>6</v>
      </c>
      <c r="B22" s="5">
        <v>1.3143676000000002</v>
      </c>
      <c r="C22" s="5">
        <v>0.52672039999999998</v>
      </c>
      <c r="D22" s="6">
        <f t="shared" si="2"/>
        <v>-0.59925944613972537</v>
      </c>
      <c r="E22" s="5">
        <v>0.84627240000000004</v>
      </c>
      <c r="F22" s="6">
        <f t="shared" si="3"/>
        <v>0.60668240683292329</v>
      </c>
      <c r="G22" s="7"/>
      <c r="H22" s="5">
        <f t="shared" si="4"/>
        <v>0.84627240000000004</v>
      </c>
    </row>
    <row r="23" spans="1:8" x14ac:dyDescent="0.3">
      <c r="A23" s="5" t="s">
        <v>20</v>
      </c>
      <c r="B23" s="5">
        <v>1.0493973999999999</v>
      </c>
      <c r="C23" s="5">
        <v>0.46439809999999998</v>
      </c>
      <c r="D23" s="6">
        <f t="shared" si="2"/>
        <v>-0.55746212064180833</v>
      </c>
      <c r="E23" s="5">
        <v>0.71567999999999998</v>
      </c>
      <c r="F23" s="6">
        <f t="shared" si="3"/>
        <v>0.54109157638672511</v>
      </c>
      <c r="G23" s="7"/>
      <c r="H23" s="5">
        <f t="shared" si="4"/>
        <v>0.71567999999999998</v>
      </c>
    </row>
    <row r="24" spans="1:8" x14ac:dyDescent="0.3">
      <c r="A24" s="15" t="s">
        <v>1</v>
      </c>
      <c r="B24" s="15">
        <v>231.67718610000003</v>
      </c>
      <c r="C24" s="15">
        <v>269.25493419999998</v>
      </c>
      <c r="D24" s="16">
        <f t="shared" si="2"/>
        <v>0.16219874184668348</v>
      </c>
      <c r="E24" s="15">
        <v>289.89877309999997</v>
      </c>
      <c r="F24" s="16">
        <f t="shared" si="3"/>
        <v>7.6670234331401133E-2</v>
      </c>
      <c r="G24" s="17"/>
      <c r="H24" s="15">
        <f t="shared" si="4"/>
        <v>289.89877309999997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4.6430987000000004</v>
      </c>
      <c r="C28" s="5">
        <v>19.512195599999998</v>
      </c>
      <c r="D28" s="6">
        <f t="shared" ref="D28:D35" si="5">(C28-B28)/B28</f>
        <v>3.202408103019649</v>
      </c>
      <c r="E28" s="5">
        <v>48.308044100000004</v>
      </c>
      <c r="F28" s="6">
        <f t="shared" ref="F28:F35" si="6">(E28-C28)/C28</f>
        <v>1.4757871994682139</v>
      </c>
      <c r="G28" s="7"/>
      <c r="H28" s="5">
        <f t="shared" ref="H28:H35" si="7">G28+E28</f>
        <v>48.308044100000004</v>
      </c>
    </row>
    <row r="29" spans="1:8" x14ac:dyDescent="0.3">
      <c r="A29" s="5" t="s">
        <v>11</v>
      </c>
      <c r="B29" s="5">
        <v>1.3173385999999998</v>
      </c>
      <c r="C29" s="5">
        <v>2.4616502999999996</v>
      </c>
      <c r="D29" s="6">
        <f t="shared" si="5"/>
        <v>0.86865419414568135</v>
      </c>
      <c r="E29" s="5">
        <v>2.762645</v>
      </c>
      <c r="F29" s="6">
        <f t="shared" si="6"/>
        <v>0.12227354145306522</v>
      </c>
      <c r="G29" s="7"/>
      <c r="H29" s="5">
        <f t="shared" si="7"/>
        <v>2.762645</v>
      </c>
    </row>
    <row r="30" spans="1:8" x14ac:dyDescent="0.3">
      <c r="A30" s="5" t="s">
        <v>22</v>
      </c>
      <c r="B30" s="5">
        <v>0.54355910000000007</v>
      </c>
      <c r="C30" s="5">
        <v>1.6187485000000006</v>
      </c>
      <c r="D30" s="6">
        <f t="shared" si="5"/>
        <v>1.9780542722953225</v>
      </c>
      <c r="E30" s="5">
        <v>1.8920743000000002</v>
      </c>
      <c r="F30" s="6">
        <f t="shared" si="6"/>
        <v>0.16885007152130149</v>
      </c>
      <c r="G30" s="7"/>
      <c r="H30" s="5">
        <f t="shared" si="7"/>
        <v>1.8920743000000002</v>
      </c>
    </row>
    <row r="31" spans="1:8" x14ac:dyDescent="0.3">
      <c r="A31" s="5" t="s">
        <v>23</v>
      </c>
      <c r="B31" s="5">
        <v>0.88362190000000007</v>
      </c>
      <c r="C31" s="5">
        <v>1.1377819</v>
      </c>
      <c r="D31" s="6">
        <f t="shared" si="5"/>
        <v>0.287634337718429</v>
      </c>
      <c r="E31" s="5">
        <v>1.6801248999999998</v>
      </c>
      <c r="F31" s="6">
        <f t="shared" si="6"/>
        <v>0.47666692535713551</v>
      </c>
      <c r="G31" s="7"/>
      <c r="H31" s="5">
        <f t="shared" si="7"/>
        <v>1.6801248999999998</v>
      </c>
    </row>
    <row r="32" spans="1:8" x14ac:dyDescent="0.3">
      <c r="A32" s="5" t="s">
        <v>8</v>
      </c>
      <c r="B32" s="5">
        <v>0.71797790000000006</v>
      </c>
      <c r="C32" s="5">
        <v>0.50857339999999995</v>
      </c>
      <c r="D32" s="6">
        <f t="shared" si="5"/>
        <v>-0.29165869868696526</v>
      </c>
      <c r="E32" s="5">
        <v>0.64363820000000005</v>
      </c>
      <c r="F32" s="6">
        <f t="shared" si="6"/>
        <v>0.265575824453265</v>
      </c>
      <c r="G32" s="7"/>
      <c r="H32" s="5">
        <f t="shared" si="7"/>
        <v>0.64363820000000005</v>
      </c>
    </row>
    <row r="33" spans="1:8" x14ac:dyDescent="0.3">
      <c r="A33" s="5" t="s">
        <v>5</v>
      </c>
      <c r="B33" s="5">
        <v>4.8408606999999995</v>
      </c>
      <c r="C33" s="5">
        <v>3.3510857999999994</v>
      </c>
      <c r="D33" s="6">
        <f t="shared" si="5"/>
        <v>-0.30775000404370245</v>
      </c>
      <c r="E33" s="5">
        <v>0.53115739999999989</v>
      </c>
      <c r="F33" s="6">
        <f t="shared" si="6"/>
        <v>-0.84149692616047012</v>
      </c>
      <c r="G33" s="7"/>
      <c r="H33" s="5">
        <f t="shared" si="7"/>
        <v>0.53115739999999989</v>
      </c>
    </row>
    <row r="34" spans="1:8" x14ac:dyDescent="0.3">
      <c r="A34" s="5" t="s">
        <v>4</v>
      </c>
      <c r="B34" s="5">
        <v>0.71531979999999995</v>
      </c>
      <c r="C34" s="5">
        <v>6.4799000000000002E-3</v>
      </c>
      <c r="D34" s="6">
        <f t="shared" si="5"/>
        <v>-0.99094125452699622</v>
      </c>
      <c r="E34" s="5">
        <v>0.12363729999999999</v>
      </c>
      <c r="F34" s="6">
        <f t="shared" si="6"/>
        <v>18.080124693282301</v>
      </c>
      <c r="G34" s="7"/>
      <c r="H34" s="5">
        <f t="shared" si="7"/>
        <v>0.12363729999999999</v>
      </c>
    </row>
    <row r="35" spans="1:8" x14ac:dyDescent="0.3">
      <c r="A35" s="15" t="s">
        <v>1</v>
      </c>
      <c r="B35" s="15">
        <v>13.661776699999999</v>
      </c>
      <c r="C35" s="15">
        <v>28.596515399999994</v>
      </c>
      <c r="D35" s="16">
        <f t="shared" si="5"/>
        <v>1.0931768998976537</v>
      </c>
      <c r="E35" s="15">
        <v>55.941321200000012</v>
      </c>
      <c r="F35" s="16">
        <f t="shared" si="6"/>
        <v>0.95622859699892049</v>
      </c>
      <c r="G35" s="17"/>
      <c r="H35" s="15">
        <f t="shared" si="7"/>
        <v>55.941321200000012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19</v>
      </c>
      <c r="B39" s="5">
        <v>19.419673</v>
      </c>
      <c r="C39" s="5">
        <v>31.9739577</v>
      </c>
      <c r="D39" s="6">
        <f t="shared" ref="D39:D43" si="8">(C39-B39)/B39</f>
        <v>0.64647250754428254</v>
      </c>
      <c r="E39" s="5">
        <v>117.91705789999999</v>
      </c>
      <c r="F39" s="6">
        <f t="shared" ref="F39:F43" si="9">(E39-C39)/C39</f>
        <v>2.6879093606857429</v>
      </c>
      <c r="G39" s="7"/>
      <c r="H39" s="5">
        <f>G39+E39</f>
        <v>117.91705789999999</v>
      </c>
    </row>
    <row r="40" spans="1:8" x14ac:dyDescent="0.3">
      <c r="A40" s="5" t="s">
        <v>15</v>
      </c>
      <c r="B40" s="5">
        <v>5.9795317000000008</v>
      </c>
      <c r="C40" s="5">
        <v>12.882239999999999</v>
      </c>
      <c r="D40" s="6">
        <f t="shared" si="8"/>
        <v>1.1543894482572938</v>
      </c>
      <c r="E40" s="5">
        <v>11.983297599999998</v>
      </c>
      <c r="F40" s="6">
        <f t="shared" si="9"/>
        <v>-6.9781528678242374E-2</v>
      </c>
      <c r="G40" s="7"/>
      <c r="H40" s="5">
        <f>G40+E40</f>
        <v>11.983297599999998</v>
      </c>
    </row>
    <row r="41" spans="1:8" x14ac:dyDescent="0.3">
      <c r="A41" s="5" t="s">
        <v>26</v>
      </c>
      <c r="B41" s="5">
        <v>4.6666575999999997</v>
      </c>
      <c r="C41" s="5">
        <v>3.29223</v>
      </c>
      <c r="D41" s="6">
        <f t="shared" si="8"/>
        <v>-0.29452077221178596</v>
      </c>
      <c r="E41" s="5">
        <v>4.9344806999999999</v>
      </c>
      <c r="F41" s="6">
        <f t="shared" si="9"/>
        <v>0.49882623632006268</v>
      </c>
      <c r="G41" s="7"/>
      <c r="H41" s="5">
        <f>G41+E41</f>
        <v>4.9344806999999999</v>
      </c>
    </row>
    <row r="42" spans="1:8" x14ac:dyDescent="0.3">
      <c r="A42" s="5" t="s">
        <v>27</v>
      </c>
      <c r="B42" s="5">
        <v>2.9297142999999988</v>
      </c>
      <c r="C42" s="5">
        <v>1.0057000999999999</v>
      </c>
      <c r="D42" s="6">
        <f t="shared" si="8"/>
        <v>-0.65672417272906092</v>
      </c>
      <c r="E42" s="5">
        <v>3.7422595000000007</v>
      </c>
      <c r="F42" s="6">
        <f t="shared" si="9"/>
        <v>2.7210491477528951</v>
      </c>
      <c r="G42" s="7"/>
      <c r="H42" s="5">
        <f>G42+E42</f>
        <v>3.7422595000000007</v>
      </c>
    </row>
    <row r="43" spans="1:8" x14ac:dyDescent="0.3">
      <c r="A43" s="15" t="s">
        <v>1</v>
      </c>
      <c r="B43" s="15">
        <v>32.9955766</v>
      </c>
      <c r="C43" s="15">
        <v>49.154127800000005</v>
      </c>
      <c r="D43" s="16">
        <f t="shared" si="8"/>
        <v>0.48971870974971854</v>
      </c>
      <c r="E43" s="15">
        <v>138.5770957</v>
      </c>
      <c r="F43" s="16">
        <f t="shared" si="9"/>
        <v>1.8192361842701641</v>
      </c>
      <c r="G43" s="17"/>
      <c r="H43" s="15">
        <f>G43+E43</f>
        <v>138.5770957</v>
      </c>
    </row>
    <row r="45" spans="1:8" x14ac:dyDescent="0.3">
      <c r="A45" s="12" t="s">
        <v>40</v>
      </c>
    </row>
    <row r="46" spans="1:8" x14ac:dyDescent="0.3">
      <c r="A46" s="4" t="s">
        <v>0</v>
      </c>
      <c r="B46" s="4" t="s">
        <v>41</v>
      </c>
      <c r="C46" s="4" t="s">
        <v>42</v>
      </c>
      <c r="D46" s="4" t="s">
        <v>33</v>
      </c>
      <c r="E46" s="4" t="s">
        <v>44</v>
      </c>
      <c r="F46" s="4" t="s">
        <v>34</v>
      </c>
      <c r="G46" s="4" t="s">
        <v>31</v>
      </c>
      <c r="H46" s="4" t="s">
        <v>32</v>
      </c>
    </row>
    <row r="47" spans="1:8" x14ac:dyDescent="0.3">
      <c r="A47" s="5" t="s">
        <v>26</v>
      </c>
      <c r="B47" s="5">
        <v>7.6075999999999997</v>
      </c>
      <c r="C47" s="5">
        <v>46.579689999999999</v>
      </c>
      <c r="D47" s="6">
        <f t="shared" ref="D47:D50" si="10">(C47-B47)/B47</f>
        <v>5.1227837951522162</v>
      </c>
      <c r="E47" s="5">
        <v>108.64201</v>
      </c>
      <c r="F47" s="6">
        <f t="shared" ref="F47:F48" si="11">(E47-C47)/C47</f>
        <v>1.3323901468644381</v>
      </c>
      <c r="G47" s="7"/>
      <c r="H47" s="5">
        <f>G47+E47</f>
        <v>108.64201</v>
      </c>
    </row>
    <row r="48" spans="1:8" x14ac:dyDescent="0.3">
      <c r="A48" s="5" t="s">
        <v>28</v>
      </c>
      <c r="B48" s="5">
        <v>6.7747807999999994</v>
      </c>
      <c r="C48" s="5">
        <v>7.7602026000000004</v>
      </c>
      <c r="D48" s="6">
        <f t="shared" si="10"/>
        <v>0.14545441824479416</v>
      </c>
      <c r="E48" s="5">
        <v>10.2745</v>
      </c>
      <c r="F48" s="6">
        <f t="shared" si="11"/>
        <v>0.323998937862782</v>
      </c>
      <c r="G48" s="7"/>
      <c r="H48" s="5">
        <f>G48+E48</f>
        <v>10.2745</v>
      </c>
    </row>
    <row r="49" spans="1:8" x14ac:dyDescent="0.3">
      <c r="A49" s="5" t="s">
        <v>29</v>
      </c>
      <c r="B49" s="5">
        <v>-1.7100199999999999E-2</v>
      </c>
      <c r="C49" s="5">
        <v>0</v>
      </c>
      <c r="D49" s="6">
        <f t="shared" si="10"/>
        <v>-1</v>
      </c>
      <c r="E49" s="5">
        <v>0</v>
      </c>
      <c r="F49" s="7"/>
      <c r="G49" s="7"/>
      <c r="H49" s="5">
        <f>G49+E49</f>
        <v>0</v>
      </c>
    </row>
    <row r="50" spans="1:8" x14ac:dyDescent="0.3">
      <c r="A50" s="15" t="s">
        <v>1</v>
      </c>
      <c r="B50" s="15">
        <v>14.3652806</v>
      </c>
      <c r="C50" s="15">
        <v>54.339892599999999</v>
      </c>
      <c r="D50" s="16">
        <f t="shared" si="10"/>
        <v>2.7827240631832839</v>
      </c>
      <c r="E50" s="15">
        <v>118.91651</v>
      </c>
      <c r="F50" s="16">
        <f>(E50-C50)/C50</f>
        <v>1.1883832357813677</v>
      </c>
      <c r="G50" s="17"/>
      <c r="H50" s="15">
        <f>G50+E50</f>
        <v>118.91651</v>
      </c>
    </row>
    <row r="51" spans="1:8" x14ac:dyDescent="0.3">
      <c r="A51" s="1"/>
      <c r="B51" s="1"/>
      <c r="C51" s="1"/>
      <c r="D51" s="1"/>
      <c r="E51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4FEA-50D2-4953-A7C0-D9BF653EDB47}">
  <dimension ref="A1:J48"/>
  <sheetViews>
    <sheetView workbookViewId="0">
      <selection activeCell="E21" sqref="E21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104.82791689999999</v>
      </c>
      <c r="C2" s="5">
        <v>124.2576073</v>
      </c>
      <c r="D2" s="6">
        <f>(C2-B2)/B2</f>
        <v>0.18534843555591071</v>
      </c>
      <c r="E2" s="5">
        <v>252.16271979999999</v>
      </c>
      <c r="F2" s="6">
        <f>(E2-C2)/C2</f>
        <v>1.0293543814278805</v>
      </c>
      <c r="G2" s="7"/>
      <c r="H2" s="5">
        <f>G2+E2</f>
        <v>252.16271979999999</v>
      </c>
      <c r="J2">
        <v>100000</v>
      </c>
    </row>
    <row r="3" spans="1:10" x14ac:dyDescent="0.3">
      <c r="A3" s="5" t="s">
        <v>2</v>
      </c>
      <c r="B3" s="5">
        <v>105.37023219999993</v>
      </c>
      <c r="C3" s="5">
        <v>177.74389950000014</v>
      </c>
      <c r="D3" s="6">
        <f t="shared" ref="D3:D6" si="0">(C3-B3)/B3</f>
        <v>0.68685117028716436</v>
      </c>
      <c r="E3" s="5">
        <v>113.30313940000003</v>
      </c>
      <c r="F3" s="6">
        <f t="shared" ref="F3:F6" si="1">(E3-C3)/C3</f>
        <v>-0.36254836470491664</v>
      </c>
      <c r="G3" s="7"/>
      <c r="H3" s="5">
        <f>G3+E3</f>
        <v>113.30313940000003</v>
      </c>
    </row>
    <row r="4" spans="1:10" x14ac:dyDescent="0.3">
      <c r="A4" s="5" t="s">
        <v>10</v>
      </c>
      <c r="B4" s="5">
        <v>21.262960899999999</v>
      </c>
      <c r="C4" s="5">
        <v>37.858898200000006</v>
      </c>
      <c r="D4" s="6">
        <f t="shared" si="0"/>
        <v>0.78050923284160334</v>
      </c>
      <c r="E4" s="5">
        <v>52.932886400000008</v>
      </c>
      <c r="F4" s="6">
        <f t="shared" si="1"/>
        <v>0.39816235856541649</v>
      </c>
      <c r="G4" s="7"/>
      <c r="H4" s="5">
        <f>G4+E4</f>
        <v>52.932886400000008</v>
      </c>
    </row>
    <row r="5" spans="1:10" x14ac:dyDescent="0.3">
      <c r="A5" s="5" t="s">
        <v>25</v>
      </c>
      <c r="B5" s="5">
        <v>31.832999999999998</v>
      </c>
      <c r="C5" s="5">
        <v>41.451700000000002</v>
      </c>
      <c r="D5" s="6">
        <f t="shared" si="0"/>
        <v>0.30216127917569829</v>
      </c>
      <c r="E5" s="5">
        <v>50.811904399999996</v>
      </c>
      <c r="F5" s="6">
        <f t="shared" si="1"/>
        <v>0.22580990405701076</v>
      </c>
      <c r="G5" s="7"/>
      <c r="H5" s="5">
        <f>G5+E5</f>
        <v>50.811904399999996</v>
      </c>
    </row>
    <row r="6" spans="1:10" x14ac:dyDescent="0.3">
      <c r="A6" s="15" t="s">
        <v>1</v>
      </c>
      <c r="B6" s="15">
        <v>263.29410999999993</v>
      </c>
      <c r="C6" s="15">
        <v>381.31210500000014</v>
      </c>
      <c r="D6" s="16">
        <f t="shared" si="0"/>
        <v>0.44823636578881404</v>
      </c>
      <c r="E6" s="15">
        <v>469.2106500000001</v>
      </c>
      <c r="F6" s="16">
        <f t="shared" si="1"/>
        <v>0.23051600997560756</v>
      </c>
      <c r="G6" s="17"/>
      <c r="H6" s="15">
        <f>G6+E6</f>
        <v>469.2106500000001</v>
      </c>
    </row>
    <row r="7" spans="1:10" x14ac:dyDescent="0.3">
      <c r="A7" s="10"/>
      <c r="B7" s="10"/>
      <c r="C7" s="10"/>
      <c r="D7" s="11"/>
      <c r="E7" s="10"/>
      <c r="F7" s="11"/>
      <c r="G7" s="12"/>
      <c r="H7" s="13"/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4</v>
      </c>
      <c r="B10" s="5">
        <v>45.595365599999994</v>
      </c>
      <c r="C10" s="5">
        <v>81.598457499999995</v>
      </c>
      <c r="D10" s="6">
        <f t="shared" ref="D10:D24" si="2">(C10-B10)/B10</f>
        <v>0.78962173953924841</v>
      </c>
      <c r="E10" s="5">
        <v>61.791868600000001</v>
      </c>
      <c r="F10" s="6">
        <f t="shared" ref="F10:F24" si="3">(E10-C10)/C10</f>
        <v>-0.24273239356270915</v>
      </c>
      <c r="G10" s="7"/>
      <c r="H10" s="5">
        <f t="shared" ref="H10:H24" si="4">G10+E10</f>
        <v>61.791868600000001</v>
      </c>
    </row>
    <row r="11" spans="1:10" x14ac:dyDescent="0.3">
      <c r="A11" s="5" t="s">
        <v>13</v>
      </c>
      <c r="B11" s="5">
        <v>24.899442500000006</v>
      </c>
      <c r="C11" s="5">
        <v>26.666189899999999</v>
      </c>
      <c r="D11" s="6">
        <f t="shared" si="2"/>
        <v>7.0955299501183303E-2</v>
      </c>
      <c r="E11" s="5">
        <v>13.4713943</v>
      </c>
      <c r="F11" s="6">
        <f t="shared" si="3"/>
        <v>-0.4948136816501108</v>
      </c>
      <c r="G11" s="7"/>
      <c r="H11" s="5">
        <f t="shared" si="4"/>
        <v>13.4713943</v>
      </c>
    </row>
    <row r="12" spans="1:10" x14ac:dyDescent="0.3">
      <c r="A12" s="5" t="s">
        <v>5</v>
      </c>
      <c r="B12" s="5">
        <v>4.3581973999999999</v>
      </c>
      <c r="C12" s="5">
        <v>8.5134068000000003</v>
      </c>
      <c r="D12" s="6">
        <f t="shared" si="2"/>
        <v>0.95342386281080349</v>
      </c>
      <c r="E12" s="5">
        <v>9.4925226000000009</v>
      </c>
      <c r="F12" s="6">
        <f t="shared" si="3"/>
        <v>0.11500869428675728</v>
      </c>
      <c r="G12" s="7"/>
      <c r="H12" s="5">
        <f t="shared" si="4"/>
        <v>9.4925226000000009</v>
      </c>
    </row>
    <row r="13" spans="1:10" x14ac:dyDescent="0.3">
      <c r="A13" s="5" t="s">
        <v>24</v>
      </c>
      <c r="B13" s="5">
        <v>0</v>
      </c>
      <c r="C13" s="5">
        <v>3.5879639000000001</v>
      </c>
      <c r="D13" s="6" t="e">
        <f t="shared" si="2"/>
        <v>#DIV/0!</v>
      </c>
      <c r="E13" s="5">
        <v>9.3604453999999997</v>
      </c>
      <c r="F13" s="6">
        <f t="shared" si="3"/>
        <v>1.6088460366058865</v>
      </c>
      <c r="G13" s="7"/>
      <c r="H13" s="5">
        <f t="shared" si="4"/>
        <v>9.3604453999999997</v>
      </c>
    </row>
    <row r="14" spans="1:10" x14ac:dyDescent="0.3">
      <c r="A14" s="5" t="s">
        <v>8</v>
      </c>
      <c r="B14" s="5">
        <v>4.1771447000000084</v>
      </c>
      <c r="C14" s="5">
        <v>28.004860699999995</v>
      </c>
      <c r="D14" s="6">
        <f t="shared" si="2"/>
        <v>5.7043070593173226</v>
      </c>
      <c r="E14" s="5">
        <v>6.6461384999999931</v>
      </c>
      <c r="F14" s="6">
        <f t="shared" si="3"/>
        <v>-0.76267910877342826</v>
      </c>
      <c r="G14" s="7"/>
      <c r="H14" s="5">
        <f t="shared" si="4"/>
        <v>6.6461384999999931</v>
      </c>
    </row>
    <row r="15" spans="1:10" x14ac:dyDescent="0.3">
      <c r="A15" s="5" t="s">
        <v>17</v>
      </c>
      <c r="B15" s="5">
        <v>1.9824889000000003</v>
      </c>
      <c r="C15" s="5">
        <v>3.0096327</v>
      </c>
      <c r="D15" s="6">
        <f t="shared" si="2"/>
        <v>0.51810822244704602</v>
      </c>
      <c r="E15" s="5">
        <v>4.9857863</v>
      </c>
      <c r="F15" s="6">
        <f t="shared" si="3"/>
        <v>0.65660955903356577</v>
      </c>
      <c r="G15" s="7"/>
      <c r="H15" s="5">
        <f t="shared" si="4"/>
        <v>4.9857863</v>
      </c>
    </row>
    <row r="16" spans="1:10" x14ac:dyDescent="0.3">
      <c r="A16" s="5" t="s">
        <v>3</v>
      </c>
      <c r="B16" s="5">
        <v>2.5066856999999994</v>
      </c>
      <c r="C16" s="5">
        <v>2.1467948999999997</v>
      </c>
      <c r="D16" s="6">
        <f t="shared" si="2"/>
        <v>-0.14357236728960465</v>
      </c>
      <c r="E16" s="5">
        <v>2.3913969000000002</v>
      </c>
      <c r="F16" s="6">
        <f t="shared" si="3"/>
        <v>0.11393822483927107</v>
      </c>
      <c r="G16" s="7"/>
      <c r="H16" s="5">
        <f t="shared" si="4"/>
        <v>2.3913969000000002</v>
      </c>
    </row>
    <row r="17" spans="1:8" x14ac:dyDescent="0.3">
      <c r="A17" s="5" t="s">
        <v>9</v>
      </c>
      <c r="B17" s="5">
        <v>9.7162216000000008</v>
      </c>
      <c r="C17" s="5">
        <v>10.840911999999994</v>
      </c>
      <c r="D17" s="6">
        <f t="shared" si="2"/>
        <v>0.11575388523456415</v>
      </c>
      <c r="E17" s="5">
        <v>2.002800800000001</v>
      </c>
      <c r="F17" s="6">
        <f t="shared" si="3"/>
        <v>-0.81525532169249204</v>
      </c>
      <c r="G17" s="7"/>
      <c r="H17" s="5">
        <f t="shared" si="4"/>
        <v>2.002800800000001</v>
      </c>
    </row>
    <row r="18" spans="1:8" x14ac:dyDescent="0.3">
      <c r="A18" s="5" t="s">
        <v>12</v>
      </c>
      <c r="B18" s="5">
        <v>2.6432186000000004</v>
      </c>
      <c r="C18" s="5">
        <v>3.1160559000000001</v>
      </c>
      <c r="D18" s="6">
        <f t="shared" si="2"/>
        <v>0.17888694487849005</v>
      </c>
      <c r="E18" s="5">
        <v>1.2332936999999997</v>
      </c>
      <c r="F18" s="6">
        <f t="shared" si="3"/>
        <v>-0.60421322993595861</v>
      </c>
      <c r="G18" s="7"/>
      <c r="H18" s="5">
        <f t="shared" si="4"/>
        <v>1.2332936999999997</v>
      </c>
    </row>
    <row r="19" spans="1:8" x14ac:dyDescent="0.3">
      <c r="A19" s="5" t="s">
        <v>16</v>
      </c>
      <c r="B19" s="5">
        <v>0.85785</v>
      </c>
      <c r="C19" s="5">
        <v>1.7409719000000001</v>
      </c>
      <c r="D19" s="6">
        <f t="shared" si="2"/>
        <v>1.0294595791805095</v>
      </c>
      <c r="E19" s="5">
        <v>1.1390496999999999</v>
      </c>
      <c r="F19" s="6">
        <f t="shared" si="3"/>
        <v>-0.34573918166054268</v>
      </c>
      <c r="G19" s="7"/>
      <c r="H19" s="5">
        <f t="shared" si="4"/>
        <v>1.1390496999999999</v>
      </c>
    </row>
    <row r="20" spans="1:8" x14ac:dyDescent="0.3">
      <c r="A20" s="5" t="s">
        <v>6</v>
      </c>
      <c r="B20" s="5">
        <v>3.0381624999999999</v>
      </c>
      <c r="C20" s="5">
        <v>3.7389581999999999</v>
      </c>
      <c r="D20" s="6">
        <f t="shared" si="2"/>
        <v>0.23066432424203775</v>
      </c>
      <c r="E20" s="5">
        <v>0.30362050000000002</v>
      </c>
      <c r="F20" s="6">
        <f t="shared" si="3"/>
        <v>-0.91879542809545178</v>
      </c>
      <c r="G20" s="7"/>
      <c r="H20" s="5">
        <f t="shared" si="4"/>
        <v>0.30362050000000002</v>
      </c>
    </row>
    <row r="21" spans="1:8" x14ac:dyDescent="0.3">
      <c r="A21" s="5" t="s">
        <v>7</v>
      </c>
      <c r="B21" s="5">
        <v>0.65447569999999988</v>
      </c>
      <c r="C21" s="5">
        <v>0.71159649999999974</v>
      </c>
      <c r="D21" s="6">
        <f t="shared" si="2"/>
        <v>8.7277189970536517E-2</v>
      </c>
      <c r="E21" s="5">
        <v>0.21012810000000001</v>
      </c>
      <c r="F21" s="6">
        <f t="shared" si="3"/>
        <v>-0.70470891860766582</v>
      </c>
      <c r="G21" s="7"/>
      <c r="H21" s="5">
        <f t="shared" si="4"/>
        <v>0.21012810000000001</v>
      </c>
    </row>
    <row r="22" spans="1:8" x14ac:dyDescent="0.3">
      <c r="A22" s="5" t="s">
        <v>20</v>
      </c>
      <c r="B22" s="5">
        <v>3.7525231999999993</v>
      </c>
      <c r="C22" s="5">
        <v>3.4655020000000003</v>
      </c>
      <c r="D22" s="6">
        <f t="shared" si="2"/>
        <v>-7.6487521782676524E-2</v>
      </c>
      <c r="E22" s="5">
        <v>0.14914850000000002</v>
      </c>
      <c r="F22" s="6">
        <f t="shared" si="3"/>
        <v>-0.95696193509627181</v>
      </c>
      <c r="G22" s="7"/>
      <c r="H22" s="5">
        <f t="shared" si="4"/>
        <v>0.14914850000000002</v>
      </c>
    </row>
    <row r="23" spans="1:8" x14ac:dyDescent="0.3">
      <c r="A23" s="5" t="s">
        <v>21</v>
      </c>
      <c r="B23" s="5">
        <v>1.1884558000000001</v>
      </c>
      <c r="C23" s="5">
        <v>0.60259659999999993</v>
      </c>
      <c r="D23" s="6">
        <f t="shared" si="2"/>
        <v>-0.49295834140403044</v>
      </c>
      <c r="E23" s="5">
        <v>0.1255455</v>
      </c>
      <c r="F23" s="6">
        <f t="shared" si="3"/>
        <v>-0.7916591298390997</v>
      </c>
      <c r="G23" s="7"/>
      <c r="H23" s="5">
        <f t="shared" si="4"/>
        <v>0.1255455</v>
      </c>
    </row>
    <row r="24" spans="1:8" x14ac:dyDescent="0.3">
      <c r="A24" s="15" t="s">
        <v>1</v>
      </c>
      <c r="B24" s="15">
        <v>105.3702322</v>
      </c>
      <c r="C24" s="15">
        <v>177.74389949999997</v>
      </c>
      <c r="D24" s="16">
        <f t="shared" si="2"/>
        <v>0.68685117028716169</v>
      </c>
      <c r="E24" s="15">
        <v>113.30313940000002</v>
      </c>
      <c r="F24" s="16">
        <f t="shared" si="3"/>
        <v>-0.36254836470491614</v>
      </c>
      <c r="G24" s="17"/>
      <c r="H24" s="15">
        <f t="shared" si="4"/>
        <v>113.30313940000002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13.608802499999999</v>
      </c>
      <c r="C28" s="5">
        <v>27.354856600000002</v>
      </c>
      <c r="D28" s="6">
        <f t="shared" ref="D28:D35" si="5">(C28-B28)/B28</f>
        <v>1.0100855016449832</v>
      </c>
      <c r="E28" s="5">
        <v>46.701388299999998</v>
      </c>
      <c r="F28" s="6">
        <f t="shared" ref="F28:F35" si="6">(E28-C28)/C28</f>
        <v>0.70724303120638532</v>
      </c>
      <c r="G28" s="7"/>
      <c r="H28" s="5">
        <f t="shared" ref="H28:H35" si="7">G28+E28</f>
        <v>46.701388299999998</v>
      </c>
    </row>
    <row r="29" spans="1:8" x14ac:dyDescent="0.3">
      <c r="A29" s="5" t="s">
        <v>11</v>
      </c>
      <c r="B29" s="5">
        <v>3.2191275999999993</v>
      </c>
      <c r="C29" s="5">
        <v>4.7519194999999987</v>
      </c>
      <c r="D29" s="6">
        <f t="shared" si="5"/>
        <v>0.47615133367189288</v>
      </c>
      <c r="E29" s="5">
        <v>4.1760019999999995</v>
      </c>
      <c r="F29" s="6">
        <f t="shared" si="6"/>
        <v>-0.12119681320359053</v>
      </c>
      <c r="G29" s="7"/>
      <c r="H29" s="5">
        <f t="shared" si="7"/>
        <v>4.1760019999999995</v>
      </c>
    </row>
    <row r="30" spans="1:8" x14ac:dyDescent="0.3">
      <c r="A30" s="5" t="s">
        <v>5</v>
      </c>
      <c r="B30" s="5">
        <v>1.4958918999999999</v>
      </c>
      <c r="C30" s="5">
        <v>2.0806198999999999</v>
      </c>
      <c r="D30" s="6">
        <f t="shared" si="5"/>
        <v>0.39088920797017479</v>
      </c>
      <c r="E30" s="5">
        <v>1.168247</v>
      </c>
      <c r="F30" s="6">
        <f t="shared" si="6"/>
        <v>-0.43851012864002686</v>
      </c>
      <c r="G30" s="7"/>
      <c r="H30" s="5">
        <f t="shared" si="7"/>
        <v>1.168247</v>
      </c>
    </row>
    <row r="31" spans="1:8" x14ac:dyDescent="0.3">
      <c r="A31" s="5" t="s">
        <v>8</v>
      </c>
      <c r="B31" s="5">
        <v>0.98298040000000009</v>
      </c>
      <c r="C31" s="5">
        <v>2.0616614999999996</v>
      </c>
      <c r="D31" s="6">
        <f t="shared" si="5"/>
        <v>1.0973576889223826</v>
      </c>
      <c r="E31" s="5">
        <v>0.47999660000000005</v>
      </c>
      <c r="F31" s="6">
        <f t="shared" si="6"/>
        <v>-0.76717972373253318</v>
      </c>
      <c r="G31" s="7"/>
      <c r="H31" s="5">
        <f t="shared" si="7"/>
        <v>0.47999660000000005</v>
      </c>
    </row>
    <row r="32" spans="1:8" x14ac:dyDescent="0.3">
      <c r="A32" s="5" t="s">
        <v>4</v>
      </c>
      <c r="B32" s="5">
        <v>0.93901729999999994</v>
      </c>
      <c r="C32" s="5">
        <v>0.91673669999999996</v>
      </c>
      <c r="D32" s="6">
        <f t="shared" si="5"/>
        <v>-2.3727571366363522E-2</v>
      </c>
      <c r="E32" s="5">
        <v>0.24543190000000004</v>
      </c>
      <c r="F32" s="6">
        <f t="shared" si="6"/>
        <v>-0.73227656316148348</v>
      </c>
      <c r="G32" s="7"/>
      <c r="H32" s="5">
        <f t="shared" si="7"/>
        <v>0.24543190000000004</v>
      </c>
    </row>
    <row r="33" spans="1:8" x14ac:dyDescent="0.3">
      <c r="A33" s="5" t="s">
        <v>23</v>
      </c>
      <c r="B33" s="5">
        <v>0.88776119999999992</v>
      </c>
      <c r="C33" s="5">
        <v>0.58910399999999996</v>
      </c>
      <c r="D33" s="6">
        <f t="shared" si="5"/>
        <v>-0.33641614434151884</v>
      </c>
      <c r="E33" s="5">
        <v>0.13482060000000001</v>
      </c>
      <c r="F33" s="6">
        <f t="shared" si="6"/>
        <v>-0.77114295608245742</v>
      </c>
      <c r="G33" s="7"/>
      <c r="H33" s="5">
        <f t="shared" si="7"/>
        <v>0.13482060000000001</v>
      </c>
    </row>
    <row r="34" spans="1:8" x14ac:dyDescent="0.3">
      <c r="A34" s="5" t="s">
        <v>22</v>
      </c>
      <c r="B34" s="5">
        <v>0.12938</v>
      </c>
      <c r="C34" s="5">
        <v>0.104</v>
      </c>
      <c r="D34" s="6">
        <f t="shared" si="5"/>
        <v>-0.19616633173597156</v>
      </c>
      <c r="E34" s="5">
        <v>2.7E-2</v>
      </c>
      <c r="F34" s="6">
        <f t="shared" si="6"/>
        <v>-0.74038461538461542</v>
      </c>
      <c r="G34" s="7"/>
      <c r="H34" s="5">
        <f t="shared" si="7"/>
        <v>2.7E-2</v>
      </c>
    </row>
    <row r="35" spans="1:8" x14ac:dyDescent="0.3">
      <c r="A35" s="15" t="s">
        <v>1</v>
      </c>
      <c r="B35" s="15">
        <v>21.262960899999999</v>
      </c>
      <c r="C35" s="15">
        <v>37.858898199999999</v>
      </c>
      <c r="D35" s="16">
        <f t="shared" si="5"/>
        <v>0.78050923284160301</v>
      </c>
      <c r="E35" s="15">
        <v>52.932886400000008</v>
      </c>
      <c r="F35" s="16">
        <f t="shared" si="6"/>
        <v>0.39816235856541671</v>
      </c>
      <c r="G35" s="17"/>
      <c r="H35" s="15">
        <f t="shared" si="7"/>
        <v>52.932886400000008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19</v>
      </c>
      <c r="B39" s="5">
        <v>18.507526899999998</v>
      </c>
      <c r="C39" s="5">
        <v>43.283520000000003</v>
      </c>
      <c r="D39" s="6">
        <f t="shared" ref="D39:D43" si="8">(C39-B39)/B39</f>
        <v>1.3386982082408865</v>
      </c>
      <c r="E39" s="5">
        <v>135.1405579</v>
      </c>
      <c r="F39" s="6">
        <f t="shared" ref="F39:F43" si="9">(E39-C39)/C39</f>
        <v>2.1222173681807761</v>
      </c>
      <c r="G39" s="7"/>
      <c r="H39" s="5">
        <f>G39+E39</f>
        <v>135.1405579</v>
      </c>
    </row>
    <row r="40" spans="1:8" x14ac:dyDescent="0.3">
      <c r="A40" s="5" t="s">
        <v>15</v>
      </c>
      <c r="B40" s="5">
        <v>85.871512600000003</v>
      </c>
      <c r="C40" s="5">
        <v>80.974087300000008</v>
      </c>
      <c r="D40" s="6">
        <f t="shared" si="8"/>
        <v>-5.7032013897470285E-2</v>
      </c>
      <c r="E40" s="5">
        <v>113.1746074</v>
      </c>
      <c r="F40" s="6">
        <f t="shared" si="9"/>
        <v>0.39766450198692127</v>
      </c>
      <c r="G40" s="7"/>
      <c r="H40" s="5">
        <f>G40+E40</f>
        <v>113.1746074</v>
      </c>
    </row>
    <row r="41" spans="1:8" x14ac:dyDescent="0.3">
      <c r="A41" s="5" t="s">
        <v>30</v>
      </c>
      <c r="B41" s="5">
        <v>0</v>
      </c>
      <c r="C41" s="5">
        <v>0</v>
      </c>
      <c r="D41" s="6" t="e">
        <f t="shared" si="8"/>
        <v>#DIV/0!</v>
      </c>
      <c r="E41" s="5">
        <v>3.8475545000000002</v>
      </c>
      <c r="F41" s="6" t="e">
        <f t="shared" si="9"/>
        <v>#DIV/0!</v>
      </c>
      <c r="G41" s="7"/>
      <c r="H41" s="5">
        <f>G41+E41</f>
        <v>3.8475545000000002</v>
      </c>
    </row>
    <row r="42" spans="1:8" x14ac:dyDescent="0.3">
      <c r="A42" s="5" t="s">
        <v>27</v>
      </c>
      <c r="B42" s="5">
        <v>0.44887739999999998</v>
      </c>
      <c r="C42" s="5">
        <v>0</v>
      </c>
      <c r="D42" s="6">
        <f t="shared" si="8"/>
        <v>-1</v>
      </c>
      <c r="E42" s="5">
        <v>0</v>
      </c>
      <c r="F42" s="6" t="e">
        <f t="shared" si="9"/>
        <v>#DIV/0!</v>
      </c>
      <c r="G42" s="7"/>
      <c r="H42" s="5">
        <f>G42+E42</f>
        <v>0</v>
      </c>
    </row>
    <row r="43" spans="1:8" x14ac:dyDescent="0.3">
      <c r="A43" s="15" t="s">
        <v>1</v>
      </c>
      <c r="B43" s="15">
        <v>104.82791689999999</v>
      </c>
      <c r="C43" s="15">
        <v>124.2576073</v>
      </c>
      <c r="D43" s="16">
        <f t="shared" si="8"/>
        <v>0.18534843555591071</v>
      </c>
      <c r="E43" s="15">
        <v>252.16271979999999</v>
      </c>
      <c r="F43" s="16">
        <f t="shared" si="9"/>
        <v>1.0293543814278805</v>
      </c>
      <c r="G43" s="17"/>
      <c r="H43" s="15">
        <f>G43+E43</f>
        <v>252.16271979999999</v>
      </c>
    </row>
    <row r="44" spans="1:8" x14ac:dyDescent="0.3">
      <c r="A44" s="1"/>
      <c r="B44" s="1"/>
      <c r="C44" s="1"/>
      <c r="D44" s="3"/>
      <c r="E44" s="1"/>
      <c r="F44" s="3"/>
      <c r="H44" s="14"/>
    </row>
    <row r="45" spans="1:8" x14ac:dyDescent="0.3">
      <c r="A45" s="12" t="s">
        <v>40</v>
      </c>
    </row>
    <row r="46" spans="1:8" x14ac:dyDescent="0.3">
      <c r="A46" s="4" t="s">
        <v>0</v>
      </c>
      <c r="B46" s="4" t="s">
        <v>41</v>
      </c>
      <c r="C46" s="4" t="s">
        <v>42</v>
      </c>
      <c r="D46" s="4" t="s">
        <v>33</v>
      </c>
      <c r="E46" s="4" t="s">
        <v>44</v>
      </c>
      <c r="F46" s="4" t="s">
        <v>34</v>
      </c>
      <c r="G46" s="4" t="s">
        <v>31</v>
      </c>
      <c r="H46" s="4" t="s">
        <v>32</v>
      </c>
    </row>
    <row r="47" spans="1:8" x14ac:dyDescent="0.3">
      <c r="A47" s="5" t="s">
        <v>28</v>
      </c>
      <c r="B47" s="5">
        <v>31.832999999999998</v>
      </c>
      <c r="C47" s="5">
        <v>41.451700000000002</v>
      </c>
      <c r="D47" s="6">
        <f t="shared" ref="D47:D48" si="10">(C47-B47)/B47</f>
        <v>0.30216127917569829</v>
      </c>
      <c r="E47" s="5">
        <v>50.811904399999996</v>
      </c>
      <c r="F47" s="6">
        <f t="shared" ref="F47:F48" si="11">(E47-C47)/C47</f>
        <v>0.22580990405701076</v>
      </c>
      <c r="G47" s="7"/>
      <c r="H47" s="5">
        <f>G47+E47</f>
        <v>50.811904399999996</v>
      </c>
    </row>
    <row r="48" spans="1:8" x14ac:dyDescent="0.3">
      <c r="A48" s="15" t="s">
        <v>1</v>
      </c>
      <c r="B48" s="15">
        <v>31.832999999999998</v>
      </c>
      <c r="C48" s="15">
        <v>41.451700000000002</v>
      </c>
      <c r="D48" s="16">
        <f t="shared" si="10"/>
        <v>0.30216127917569829</v>
      </c>
      <c r="E48" s="15">
        <v>50.811904399999996</v>
      </c>
      <c r="F48" s="16">
        <f t="shared" si="11"/>
        <v>0.22580990405701076</v>
      </c>
      <c r="G48" s="17"/>
      <c r="H48" s="15">
        <f>G48+E48</f>
        <v>50.811904399999996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5FB9-B61B-4581-8202-A83CD6639D7A}">
  <dimension ref="A1:J47"/>
  <sheetViews>
    <sheetView workbookViewId="0">
      <selection activeCell="F47" sqref="F47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51.651077800000003</v>
      </c>
      <c r="C2" s="5">
        <v>89.189760000000007</v>
      </c>
      <c r="D2" s="6">
        <f>(C2-B2)/B2</f>
        <v>0.72677442173336415</v>
      </c>
      <c r="E2" s="5">
        <v>120.69496919999997</v>
      </c>
      <c r="F2" s="6">
        <f>(E2-C2)/C2</f>
        <v>0.35323796364066867</v>
      </c>
      <c r="G2" s="7"/>
      <c r="H2" s="5">
        <f>G2+E2</f>
        <v>120.69496919999997</v>
      </c>
      <c r="J2">
        <v>100000</v>
      </c>
    </row>
    <row r="3" spans="1:10" x14ac:dyDescent="0.3">
      <c r="A3" s="5" t="s">
        <v>25</v>
      </c>
      <c r="B3" s="5">
        <v>13.115</v>
      </c>
      <c r="C3" s="5">
        <v>14.261863399999999</v>
      </c>
      <c r="D3" s="6">
        <f t="shared" ref="D3:D6" si="0">(C3-B3)/B3</f>
        <v>8.7446694624475726E-2</v>
      </c>
      <c r="E3" s="5">
        <v>24.023479999999999</v>
      </c>
      <c r="F3" s="6">
        <f t="shared" ref="F3:F6" si="1">(E3-C3)/C3</f>
        <v>0.6844559035672716</v>
      </c>
      <c r="G3" s="7"/>
      <c r="H3" s="5">
        <f>G3+E3</f>
        <v>24.023479999999999</v>
      </c>
    </row>
    <row r="4" spans="1:10" x14ac:dyDescent="0.3">
      <c r="A4" s="5" t="s">
        <v>10</v>
      </c>
      <c r="B4" s="5">
        <v>8.6008523000000014</v>
      </c>
      <c r="C4" s="5">
        <v>17.420239600000009</v>
      </c>
      <c r="D4" s="6">
        <f t="shared" si="0"/>
        <v>1.0254085284082841</v>
      </c>
      <c r="E4" s="5">
        <v>17.869017599999999</v>
      </c>
      <c r="F4" s="6">
        <f t="shared" si="1"/>
        <v>2.5761872988244654E-2</v>
      </c>
      <c r="G4" s="7"/>
      <c r="H4" s="5">
        <f>G4+E4</f>
        <v>17.869017599999999</v>
      </c>
    </row>
    <row r="5" spans="1:10" x14ac:dyDescent="0.3">
      <c r="A5" s="5" t="s">
        <v>2</v>
      </c>
      <c r="B5" s="5">
        <v>45.962479899999984</v>
      </c>
      <c r="C5" s="5">
        <v>82.868086999999932</v>
      </c>
      <c r="D5" s="6">
        <f t="shared" si="0"/>
        <v>0.80295073678128404</v>
      </c>
      <c r="E5" s="5">
        <v>-5.8437367999999932</v>
      </c>
      <c r="F5" s="6">
        <f t="shared" si="1"/>
        <v>-1.0705185435256879</v>
      </c>
      <c r="G5" s="7"/>
      <c r="H5" s="5">
        <f>G5+E5</f>
        <v>-5.8437367999999932</v>
      </c>
    </row>
    <row r="6" spans="1:10" x14ac:dyDescent="0.3">
      <c r="A6" s="15" t="s">
        <v>1</v>
      </c>
      <c r="B6" s="15">
        <v>119.32941</v>
      </c>
      <c r="C6" s="15">
        <v>203.73994999999994</v>
      </c>
      <c r="D6" s="16">
        <f t="shared" si="0"/>
        <v>0.70737415026186712</v>
      </c>
      <c r="E6" s="15">
        <v>156.74372999999997</v>
      </c>
      <c r="F6" s="16">
        <f t="shared" si="1"/>
        <v>-0.23066767219683709</v>
      </c>
      <c r="G6" s="17"/>
      <c r="H6" s="15">
        <f>G6+E6</f>
        <v>156.74372999999997</v>
      </c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4</v>
      </c>
      <c r="B10" s="5">
        <v>6.9575460000000007</v>
      </c>
      <c r="C10" s="5">
        <v>6.5952122999999983</v>
      </c>
      <c r="D10" s="6">
        <f t="shared" ref="D10:D17" si="2">(C10-B10)/B10</f>
        <v>-5.2077801569691724E-2</v>
      </c>
      <c r="E10" s="5">
        <v>9.0173877000000005</v>
      </c>
      <c r="F10" s="6">
        <f t="shared" ref="F10:F24" si="3">(E10-C10)/C10</f>
        <v>0.36726268842020487</v>
      </c>
      <c r="G10" s="7"/>
      <c r="H10" s="5">
        <f t="shared" ref="H10:H24" si="4">G10+E10</f>
        <v>9.0173877000000005</v>
      </c>
    </row>
    <row r="11" spans="1:10" x14ac:dyDescent="0.3">
      <c r="A11" s="5" t="s">
        <v>20</v>
      </c>
      <c r="B11" s="5">
        <v>3.2497811999999993</v>
      </c>
      <c r="C11" s="5">
        <v>6.5192071</v>
      </c>
      <c r="D11" s="6">
        <f t="shared" si="2"/>
        <v>1.0060449300402137</v>
      </c>
      <c r="E11" s="5">
        <v>4.6167249000000004</v>
      </c>
      <c r="F11" s="6">
        <f t="shared" si="3"/>
        <v>-0.29182723770195912</v>
      </c>
      <c r="G11" s="7"/>
      <c r="H11" s="5">
        <f t="shared" si="4"/>
        <v>4.6167249000000004</v>
      </c>
    </row>
    <row r="12" spans="1:10" x14ac:dyDescent="0.3">
      <c r="A12" s="5" t="s">
        <v>3</v>
      </c>
      <c r="B12" s="5">
        <v>1.3877801999999999</v>
      </c>
      <c r="C12" s="5">
        <v>2.7020510999999998</v>
      </c>
      <c r="D12" s="6">
        <f t="shared" si="2"/>
        <v>0.94703102119485494</v>
      </c>
      <c r="E12" s="5">
        <v>1.8302761999999999</v>
      </c>
      <c r="F12" s="6">
        <f t="shared" si="3"/>
        <v>-0.32263449791900678</v>
      </c>
      <c r="G12" s="7"/>
      <c r="H12" s="5">
        <f t="shared" si="4"/>
        <v>1.8302761999999999</v>
      </c>
    </row>
    <row r="13" spans="1:10" x14ac:dyDescent="0.3">
      <c r="A13" s="5" t="s">
        <v>12</v>
      </c>
      <c r="B13" s="5">
        <v>0.61389090000000002</v>
      </c>
      <c r="C13" s="5">
        <v>1.7172905999999999</v>
      </c>
      <c r="D13" s="6">
        <f t="shared" si="2"/>
        <v>1.7973872881972999</v>
      </c>
      <c r="E13" s="5">
        <v>1.4254010000000001</v>
      </c>
      <c r="F13" s="6">
        <f t="shared" si="3"/>
        <v>-0.16997099966656765</v>
      </c>
      <c r="G13" s="7"/>
      <c r="H13" s="5">
        <f t="shared" si="4"/>
        <v>1.4254010000000001</v>
      </c>
    </row>
    <row r="14" spans="1:10" x14ac:dyDescent="0.3">
      <c r="A14" s="5" t="s">
        <v>13</v>
      </c>
      <c r="B14" s="5">
        <v>4.4077668000000001</v>
      </c>
      <c r="C14" s="5">
        <v>5.6481271000000017</v>
      </c>
      <c r="D14" s="6">
        <f t="shared" si="2"/>
        <v>0.28140334012225909</v>
      </c>
      <c r="E14" s="5">
        <v>1.0813038000000001</v>
      </c>
      <c r="F14" s="6">
        <f t="shared" si="3"/>
        <v>-0.80855533509506183</v>
      </c>
      <c r="G14" s="7"/>
      <c r="H14" s="5">
        <f t="shared" si="4"/>
        <v>1.0813038000000001</v>
      </c>
    </row>
    <row r="15" spans="1:10" x14ac:dyDescent="0.3">
      <c r="A15" s="5" t="s">
        <v>5</v>
      </c>
      <c r="B15" s="5">
        <v>0.1639312</v>
      </c>
      <c r="C15" s="5">
        <v>0.80542820000000004</v>
      </c>
      <c r="D15" s="6">
        <f t="shared" si="2"/>
        <v>3.9132087119474512</v>
      </c>
      <c r="E15" s="5">
        <v>0.78888479999999994</v>
      </c>
      <c r="F15" s="6">
        <f t="shared" si="3"/>
        <v>-2.0539881767238963E-2</v>
      </c>
      <c r="G15" s="7"/>
      <c r="H15" s="5">
        <f t="shared" si="4"/>
        <v>0.78888479999999994</v>
      </c>
    </row>
    <row r="16" spans="1:10" x14ac:dyDescent="0.3">
      <c r="A16" s="5" t="s">
        <v>16</v>
      </c>
      <c r="B16" s="5">
        <v>0.78451810000000011</v>
      </c>
      <c r="C16" s="5">
        <v>0.61655110000000002</v>
      </c>
      <c r="D16" s="6">
        <f t="shared" si="2"/>
        <v>-0.21410213480096899</v>
      </c>
      <c r="E16" s="5">
        <v>0.53713080000000013</v>
      </c>
      <c r="F16" s="6">
        <f t="shared" si="3"/>
        <v>-0.12881381608109999</v>
      </c>
      <c r="G16" s="7"/>
      <c r="H16" s="5">
        <f t="shared" si="4"/>
        <v>0.53713080000000013</v>
      </c>
    </row>
    <row r="17" spans="1:8" x14ac:dyDescent="0.3">
      <c r="A17" s="5" t="s">
        <v>6</v>
      </c>
      <c r="B17" s="5">
        <v>1.5098836000000004</v>
      </c>
      <c r="C17" s="5">
        <v>3.5938136999999992</v>
      </c>
      <c r="D17" s="6">
        <f t="shared" si="2"/>
        <v>1.3801925525914702</v>
      </c>
      <c r="E17" s="5">
        <v>0.15784459999999997</v>
      </c>
      <c r="F17" s="6">
        <f t="shared" si="3"/>
        <v>-0.95607880286059355</v>
      </c>
      <c r="G17" s="7"/>
      <c r="H17" s="5">
        <f t="shared" si="4"/>
        <v>0.15784459999999997</v>
      </c>
    </row>
    <row r="18" spans="1:8" x14ac:dyDescent="0.3">
      <c r="A18" s="5" t="s">
        <v>24</v>
      </c>
      <c r="B18" s="5">
        <v>0</v>
      </c>
      <c r="C18" s="5">
        <v>3.07809E-2</v>
      </c>
      <c r="D18" s="5"/>
      <c r="E18" s="5">
        <v>7.5525099999999998E-2</v>
      </c>
      <c r="F18" s="6">
        <f t="shared" si="3"/>
        <v>1.4536352088470448</v>
      </c>
      <c r="G18" s="7"/>
      <c r="H18" s="5">
        <f t="shared" si="4"/>
        <v>7.5525099999999998E-2</v>
      </c>
    </row>
    <row r="19" spans="1:8" x14ac:dyDescent="0.3">
      <c r="A19" s="5" t="s">
        <v>21</v>
      </c>
      <c r="B19" s="5">
        <v>6.6500000000000004E-2</v>
      </c>
      <c r="C19" s="5">
        <v>0.25279540000000006</v>
      </c>
      <c r="D19" s="5"/>
      <c r="E19" s="5">
        <v>3.3737400000000001E-2</v>
      </c>
      <c r="F19" s="6">
        <f t="shared" si="3"/>
        <v>-0.86654266652003953</v>
      </c>
      <c r="G19" s="7"/>
      <c r="H19" s="5">
        <f t="shared" si="4"/>
        <v>3.3737400000000001E-2</v>
      </c>
    </row>
    <row r="20" spans="1:8" x14ac:dyDescent="0.3">
      <c r="A20" s="5" t="s">
        <v>7</v>
      </c>
      <c r="B20" s="5">
        <v>0.12380340000000001</v>
      </c>
      <c r="C20" s="5">
        <v>0.15589600000000001</v>
      </c>
      <c r="D20" s="5"/>
      <c r="E20" s="5">
        <v>1.4364699999999998E-2</v>
      </c>
      <c r="F20" s="6">
        <f t="shared" si="3"/>
        <v>-0.90785716118437931</v>
      </c>
      <c r="G20" s="7"/>
      <c r="H20" s="5">
        <f t="shared" si="4"/>
        <v>1.4364699999999998E-2</v>
      </c>
    </row>
    <row r="21" spans="1:8" x14ac:dyDescent="0.3">
      <c r="A21" s="5" t="s">
        <v>17</v>
      </c>
      <c r="B21" s="5">
        <v>0.54175220000000002</v>
      </c>
      <c r="C21" s="5">
        <v>2.4737648000000005</v>
      </c>
      <c r="D21" s="6">
        <f t="shared" ref="D21:D24" si="5">(C21-B21)/B21</f>
        <v>3.5662293572596484</v>
      </c>
      <c r="E21" s="5">
        <v>-0.33166410000000002</v>
      </c>
      <c r="F21" s="6">
        <f t="shared" si="3"/>
        <v>-1.1340726086813104</v>
      </c>
      <c r="G21" s="7"/>
      <c r="H21" s="5">
        <f t="shared" si="4"/>
        <v>-0.33166410000000002</v>
      </c>
    </row>
    <row r="22" spans="1:8" x14ac:dyDescent="0.3">
      <c r="A22" s="5" t="s">
        <v>8</v>
      </c>
      <c r="B22" s="5">
        <v>12.176899799999999</v>
      </c>
      <c r="C22" s="5">
        <v>26.706496799999996</v>
      </c>
      <c r="D22" s="6">
        <f t="shared" si="5"/>
        <v>1.1932098677530383</v>
      </c>
      <c r="E22" s="5">
        <v>-5.0126044000000007</v>
      </c>
      <c r="F22" s="6">
        <f t="shared" si="3"/>
        <v>-1.1876923221169167</v>
      </c>
      <c r="G22" s="7"/>
      <c r="H22" s="5">
        <f t="shared" si="4"/>
        <v>-5.0126044000000007</v>
      </c>
    </row>
    <row r="23" spans="1:8" x14ac:dyDescent="0.3">
      <c r="A23" s="5" t="s">
        <v>9</v>
      </c>
      <c r="B23" s="5">
        <v>13.978426500000008</v>
      </c>
      <c r="C23" s="5">
        <v>25.050671899999994</v>
      </c>
      <c r="D23" s="6">
        <f t="shared" si="5"/>
        <v>0.79209526193810009</v>
      </c>
      <c r="E23" s="5">
        <v>-20.0780493</v>
      </c>
      <c r="F23" s="6">
        <f t="shared" si="3"/>
        <v>-1.8014974360827425</v>
      </c>
      <c r="G23" s="7"/>
      <c r="H23" s="5">
        <f t="shared" si="4"/>
        <v>-20.0780493</v>
      </c>
    </row>
    <row r="24" spans="1:8" x14ac:dyDescent="0.3">
      <c r="A24" s="15" t="s">
        <v>1</v>
      </c>
      <c r="B24" s="15">
        <v>45.962479900000012</v>
      </c>
      <c r="C24" s="15">
        <v>82.868086999999989</v>
      </c>
      <c r="D24" s="16">
        <f t="shared" si="5"/>
        <v>0.80295073678128426</v>
      </c>
      <c r="E24" s="15">
        <v>-5.8437367999999985</v>
      </c>
      <c r="F24" s="16">
        <f t="shared" si="3"/>
        <v>-1.0705185435256881</v>
      </c>
      <c r="G24" s="17"/>
      <c r="H24" s="15">
        <f t="shared" si="4"/>
        <v>-5.8437367999999985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5.5935068000000001</v>
      </c>
      <c r="C28" s="5">
        <v>10.563488300000001</v>
      </c>
      <c r="D28" s="6">
        <f t="shared" ref="D28:D29" si="6">(C28-B28)/B28</f>
        <v>0.88852694341946648</v>
      </c>
      <c r="E28" s="5">
        <v>12.374325099999998</v>
      </c>
      <c r="F28" s="6">
        <f t="shared" ref="F28:F30" si="7">(E28-C28)/C28</f>
        <v>0.17142413079588462</v>
      </c>
      <c r="G28" s="7"/>
      <c r="H28" s="5">
        <f t="shared" ref="H28:H35" si="8">G28+E28</f>
        <v>12.374325099999998</v>
      </c>
    </row>
    <row r="29" spans="1:8" x14ac:dyDescent="0.3">
      <c r="A29" s="5" t="s">
        <v>11</v>
      </c>
      <c r="B29" s="5">
        <v>2.2001439999999999</v>
      </c>
      <c r="C29" s="5">
        <v>4.929836400000001</v>
      </c>
      <c r="D29" s="6">
        <f t="shared" si="6"/>
        <v>1.2406880640539897</v>
      </c>
      <c r="E29" s="5">
        <v>3.9096038999999996</v>
      </c>
      <c r="F29" s="6">
        <f t="shared" si="7"/>
        <v>-0.20695057953647331</v>
      </c>
      <c r="G29" s="7"/>
      <c r="H29" s="5">
        <f t="shared" si="8"/>
        <v>3.9096038999999996</v>
      </c>
    </row>
    <row r="30" spans="1:8" x14ac:dyDescent="0.3">
      <c r="A30" s="5" t="s">
        <v>5</v>
      </c>
      <c r="B30" s="5">
        <v>9.4717099999999985E-2</v>
      </c>
      <c r="C30" s="5">
        <v>0.408555</v>
      </c>
      <c r="D30" s="5"/>
      <c r="E30" s="5">
        <v>0.68511630000000001</v>
      </c>
      <c r="F30" s="6">
        <f t="shared" si="7"/>
        <v>0.67692550574586041</v>
      </c>
      <c r="G30" s="7"/>
      <c r="H30" s="5">
        <f t="shared" si="8"/>
        <v>0.68511630000000001</v>
      </c>
    </row>
    <row r="31" spans="1:8" x14ac:dyDescent="0.3">
      <c r="A31" s="5" t="s">
        <v>4</v>
      </c>
      <c r="B31" s="5">
        <v>1.89E-2</v>
      </c>
      <c r="C31" s="5">
        <v>0.2420862</v>
      </c>
      <c r="D31" s="5"/>
      <c r="E31" s="5">
        <v>0.40158059999999995</v>
      </c>
      <c r="F31" s="7"/>
      <c r="G31" s="7"/>
      <c r="H31" s="5">
        <f t="shared" si="8"/>
        <v>0.40158059999999995</v>
      </c>
    </row>
    <row r="32" spans="1:8" x14ac:dyDescent="0.3">
      <c r="A32" s="5" t="s">
        <v>22</v>
      </c>
      <c r="B32" s="5">
        <v>0.34618320000000002</v>
      </c>
      <c r="C32" s="5">
        <v>0.26327479999999998</v>
      </c>
      <c r="D32" s="5"/>
      <c r="E32" s="5">
        <v>0.30795149999999999</v>
      </c>
      <c r="F32" s="7"/>
      <c r="G32" s="7"/>
      <c r="H32" s="5">
        <f t="shared" si="8"/>
        <v>0.30795149999999999</v>
      </c>
    </row>
    <row r="33" spans="1:8" x14ac:dyDescent="0.3">
      <c r="A33" s="5" t="s">
        <v>23</v>
      </c>
      <c r="B33" s="5">
        <v>0.1206</v>
      </c>
      <c r="C33" s="5">
        <v>0.31009700000000001</v>
      </c>
      <c r="D33" s="5"/>
      <c r="E33" s="5">
        <v>0.1141201</v>
      </c>
      <c r="F33" s="7"/>
      <c r="G33" s="7"/>
      <c r="H33" s="5">
        <f t="shared" si="8"/>
        <v>0.1141201</v>
      </c>
    </row>
    <row r="34" spans="1:8" x14ac:dyDescent="0.3">
      <c r="A34" s="5" t="s">
        <v>8</v>
      </c>
      <c r="B34" s="5">
        <v>0.22680119999999998</v>
      </c>
      <c r="C34" s="5">
        <v>0.70290189999999997</v>
      </c>
      <c r="D34" s="6">
        <f t="shared" ref="D34:D35" si="9">(C34-B34)/B34</f>
        <v>2.0991983287566383</v>
      </c>
      <c r="E34" s="5">
        <v>7.6320100000000002E-2</v>
      </c>
      <c r="F34" s="7"/>
      <c r="G34" s="7"/>
      <c r="H34" s="5">
        <f t="shared" si="8"/>
        <v>7.6320100000000002E-2</v>
      </c>
    </row>
    <row r="35" spans="1:8" x14ac:dyDescent="0.3">
      <c r="A35" s="15" t="s">
        <v>1</v>
      </c>
      <c r="B35" s="15">
        <v>8.6008522999999997</v>
      </c>
      <c r="C35" s="15">
        <v>17.420239600000002</v>
      </c>
      <c r="D35" s="16">
        <f t="shared" si="9"/>
        <v>1.0254085284082837</v>
      </c>
      <c r="E35" s="15">
        <v>17.869017599999996</v>
      </c>
      <c r="F35" s="16">
        <f>(E35-C35)/C35</f>
        <v>2.576187298824487E-2</v>
      </c>
      <c r="G35" s="17"/>
      <c r="H35" s="15">
        <f t="shared" si="8"/>
        <v>17.869017599999996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26</v>
      </c>
      <c r="B39" s="5">
        <v>50.396318700000002</v>
      </c>
      <c r="C39" s="5">
        <v>81.975837099999993</v>
      </c>
      <c r="D39" s="6">
        <f t="shared" ref="D39:D40" si="10">(C39-B39)/B39</f>
        <v>0.62662351565770202</v>
      </c>
      <c r="E39" s="5">
        <v>101.08100489999998</v>
      </c>
      <c r="F39" s="6">
        <f t="shared" ref="F39:F42" si="11">(E39-C39)/C39</f>
        <v>0.23305852646181752</v>
      </c>
      <c r="G39" s="7"/>
      <c r="H39" s="5">
        <f>G39+E39</f>
        <v>101.08100489999998</v>
      </c>
    </row>
    <row r="40" spans="1:8" x14ac:dyDescent="0.3">
      <c r="A40" s="5" t="s">
        <v>19</v>
      </c>
      <c r="B40" s="5">
        <v>1.2547591</v>
      </c>
      <c r="C40" s="5">
        <v>7.2139229</v>
      </c>
      <c r="D40" s="6">
        <f t="shared" si="10"/>
        <v>4.74924931805635</v>
      </c>
      <c r="E40" s="5">
        <v>16.869385699999999</v>
      </c>
      <c r="F40" s="6">
        <f t="shared" si="11"/>
        <v>1.338448294200649</v>
      </c>
      <c r="G40" s="7"/>
      <c r="H40" s="5">
        <f>G40+E40</f>
        <v>16.869385699999999</v>
      </c>
    </row>
    <row r="41" spans="1:8" x14ac:dyDescent="0.3">
      <c r="A41" s="5" t="s">
        <v>30</v>
      </c>
      <c r="B41" s="5">
        <v>0</v>
      </c>
      <c r="C41" s="5">
        <v>0</v>
      </c>
      <c r="D41" s="5"/>
      <c r="E41" s="5">
        <v>2.7445785999999996</v>
      </c>
      <c r="F41" s="6" t="e">
        <f t="shared" si="11"/>
        <v>#DIV/0!</v>
      </c>
      <c r="G41" s="7"/>
      <c r="H41" s="5">
        <f>G41+E41</f>
        <v>2.7445785999999996</v>
      </c>
    </row>
    <row r="42" spans="1:8" x14ac:dyDescent="0.3">
      <c r="A42" s="15" t="s">
        <v>1</v>
      </c>
      <c r="B42" s="15">
        <v>51.651077800000003</v>
      </c>
      <c r="C42" s="15">
        <v>89.189760000000007</v>
      </c>
      <c r="D42" s="16">
        <f>(C42-B42)/B42</f>
        <v>0.72677442173336415</v>
      </c>
      <c r="E42" s="15">
        <v>120.69496919999997</v>
      </c>
      <c r="F42" s="16">
        <f t="shared" si="11"/>
        <v>0.35323796364066867</v>
      </c>
      <c r="G42" s="17"/>
      <c r="H42" s="15">
        <f>G42+E42</f>
        <v>120.69496919999997</v>
      </c>
    </row>
    <row r="44" spans="1:8" x14ac:dyDescent="0.3">
      <c r="A44" s="12" t="s">
        <v>40</v>
      </c>
    </row>
    <row r="45" spans="1:8" x14ac:dyDescent="0.3">
      <c r="A45" s="4" t="s">
        <v>0</v>
      </c>
      <c r="B45" s="4" t="s">
        <v>41</v>
      </c>
      <c r="C45" s="4" t="s">
        <v>42</v>
      </c>
      <c r="D45" s="4" t="s">
        <v>33</v>
      </c>
      <c r="E45" s="4" t="s">
        <v>44</v>
      </c>
      <c r="F45" s="4" t="s">
        <v>34</v>
      </c>
      <c r="G45" s="4" t="s">
        <v>31</v>
      </c>
      <c r="H45" s="4" t="s">
        <v>32</v>
      </c>
    </row>
    <row r="46" spans="1:8" x14ac:dyDescent="0.3">
      <c r="A46" s="5" t="s">
        <v>28</v>
      </c>
      <c r="B46" s="5">
        <v>13.115</v>
      </c>
      <c r="C46" s="5">
        <v>14.261863399999999</v>
      </c>
      <c r="D46" s="6">
        <f t="shared" ref="D46:D47" si="12">(C46-B46)/B46</f>
        <v>8.7446694624475726E-2</v>
      </c>
      <c r="E46" s="5">
        <v>24.023479999999999</v>
      </c>
      <c r="F46" s="6">
        <f t="shared" ref="F46:F47" si="13">(E46-C46)/C46</f>
        <v>0.6844559035672716</v>
      </c>
      <c r="G46" s="7"/>
      <c r="H46" s="5">
        <f>G46+E46</f>
        <v>24.023479999999999</v>
      </c>
    </row>
    <row r="47" spans="1:8" x14ac:dyDescent="0.3">
      <c r="A47" s="15" t="s">
        <v>1</v>
      </c>
      <c r="B47" s="15">
        <v>13.115</v>
      </c>
      <c r="C47" s="15">
        <v>14.261863399999999</v>
      </c>
      <c r="D47" s="16">
        <f t="shared" si="12"/>
        <v>8.7446694624475726E-2</v>
      </c>
      <c r="E47" s="15">
        <v>24.023479999999999</v>
      </c>
      <c r="F47" s="16">
        <f t="shared" si="13"/>
        <v>0.6844559035672716</v>
      </c>
      <c r="G47" s="17"/>
      <c r="H47" s="15">
        <f>G47+E47</f>
        <v>24.023479999999999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7A3E-F327-4671-9417-A1909911DC42}">
  <dimension ref="A1:K47"/>
  <sheetViews>
    <sheetView workbookViewId="0">
      <selection activeCell="J13" sqref="J13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1" x14ac:dyDescent="0.3">
      <c r="A2" s="5" t="s">
        <v>18</v>
      </c>
      <c r="B2" s="5">
        <v>188.08029500000001</v>
      </c>
      <c r="C2" s="5">
        <v>193.85830149999998</v>
      </c>
      <c r="D2" s="6">
        <f>(C2-B2)/B2</f>
        <v>3.0720956174595405E-2</v>
      </c>
      <c r="E2" s="5">
        <v>435.16718320000001</v>
      </c>
      <c r="F2" s="6">
        <f>(E2-C2)/C2</f>
        <v>1.2447694002931313</v>
      </c>
      <c r="G2" s="7"/>
      <c r="H2" s="5">
        <f>G2+E2</f>
        <v>435.16718320000001</v>
      </c>
      <c r="K2">
        <v>100000</v>
      </c>
    </row>
    <row r="3" spans="1:11" x14ac:dyDescent="0.3">
      <c r="A3" s="5" t="s">
        <v>2</v>
      </c>
      <c r="B3" s="5">
        <v>338.99972500000001</v>
      </c>
      <c r="C3" s="5">
        <v>154.4948364</v>
      </c>
      <c r="D3" s="6">
        <f t="shared" ref="D3:D6" si="0">(C3-B3)/B3</f>
        <v>-0.54426264977058614</v>
      </c>
      <c r="E3" s="5">
        <v>109.63014940000004</v>
      </c>
      <c r="F3" s="6">
        <f t="shared" ref="F3:F6" si="1">(E3-C3)/C3</f>
        <v>-0.29039602905459927</v>
      </c>
      <c r="G3" s="7"/>
      <c r="H3" s="5">
        <f>G3+E3</f>
        <v>109.63014940000004</v>
      </c>
    </row>
    <row r="4" spans="1:11" x14ac:dyDescent="0.3">
      <c r="A4" s="5" t="s">
        <v>10</v>
      </c>
      <c r="B4" s="5">
        <v>19.863899</v>
      </c>
      <c r="C4" s="5">
        <v>34.974032100000009</v>
      </c>
      <c r="D4" s="6">
        <f t="shared" si="0"/>
        <v>0.76068314181420327</v>
      </c>
      <c r="E4" s="5">
        <v>37.676517400000002</v>
      </c>
      <c r="F4" s="6">
        <f t="shared" si="1"/>
        <v>7.7271196305672502E-2</v>
      </c>
      <c r="G4" s="7"/>
      <c r="H4" s="5">
        <f>G4+E4</f>
        <v>37.676517400000002</v>
      </c>
    </row>
    <row r="5" spans="1:11" x14ac:dyDescent="0.3">
      <c r="A5" s="5" t="s">
        <v>25</v>
      </c>
      <c r="B5" s="5">
        <v>2.616161</v>
      </c>
      <c r="C5" s="5">
        <v>2.1640000000000001</v>
      </c>
      <c r="D5" s="6">
        <f t="shared" si="0"/>
        <v>-0.17283378201876712</v>
      </c>
      <c r="E5" s="5">
        <v>0</v>
      </c>
      <c r="F5" s="6">
        <f t="shared" si="1"/>
        <v>-1</v>
      </c>
      <c r="G5" s="7"/>
      <c r="H5" s="5">
        <f>G5+E5</f>
        <v>0</v>
      </c>
    </row>
    <row r="6" spans="1:11" x14ac:dyDescent="0.3">
      <c r="A6" s="15" t="s">
        <v>1</v>
      </c>
      <c r="B6" s="15">
        <v>549.56007999999997</v>
      </c>
      <c r="C6" s="15">
        <v>385.49117000000001</v>
      </c>
      <c r="D6" s="16">
        <f t="shared" si="0"/>
        <v>-0.29854590238796086</v>
      </c>
      <c r="E6" s="15">
        <v>582.47385000000008</v>
      </c>
      <c r="F6" s="16">
        <f t="shared" si="1"/>
        <v>0.51099141907712198</v>
      </c>
      <c r="G6" s="17"/>
      <c r="H6" s="15">
        <f>G6+E6</f>
        <v>582.47385000000008</v>
      </c>
    </row>
    <row r="8" spans="1:11" x14ac:dyDescent="0.3">
      <c r="A8" s="10" t="s">
        <v>37</v>
      </c>
    </row>
    <row r="9" spans="1:11" x14ac:dyDescent="0.3">
      <c r="A9" s="8" t="s">
        <v>0</v>
      </c>
      <c r="B9" s="8" t="s">
        <v>41</v>
      </c>
      <c r="C9" s="8" t="s">
        <v>42</v>
      </c>
      <c r="D9" s="4" t="s">
        <v>33</v>
      </c>
      <c r="E9" s="8" t="s">
        <v>44</v>
      </c>
      <c r="F9" s="4" t="s">
        <v>34</v>
      </c>
      <c r="G9" s="4" t="s">
        <v>31</v>
      </c>
      <c r="H9" s="4" t="s">
        <v>32</v>
      </c>
    </row>
    <row r="10" spans="1:11" x14ac:dyDescent="0.3">
      <c r="A10" s="7" t="s">
        <v>8</v>
      </c>
      <c r="B10" s="9">
        <v>37.120855200000001</v>
      </c>
      <c r="C10" s="9">
        <v>38.853098799999998</v>
      </c>
      <c r="D10" s="6">
        <f t="shared" ref="D10:D23" si="2">(C10-B10)/B10</f>
        <v>4.6664970154028047E-2</v>
      </c>
      <c r="E10" s="9">
        <v>28.787396699999999</v>
      </c>
      <c r="F10" s="6">
        <f t="shared" ref="F10:F23" si="3">(E10-C10)/C10</f>
        <v>-0.2590707668341759</v>
      </c>
      <c r="G10" s="7"/>
      <c r="H10" s="5">
        <f t="shared" ref="H10:H23" si="4">G10+E10</f>
        <v>28.787396699999999</v>
      </c>
    </row>
    <row r="11" spans="1:11" x14ac:dyDescent="0.3">
      <c r="A11" s="7" t="s">
        <v>5</v>
      </c>
      <c r="B11" s="9">
        <v>7.1781131000000009</v>
      </c>
      <c r="C11" s="9">
        <v>17.3666549</v>
      </c>
      <c r="D11" s="6">
        <f t="shared" si="2"/>
        <v>1.4193899786839521</v>
      </c>
      <c r="E11" s="9">
        <v>21.935617199999996</v>
      </c>
      <c r="F11" s="6">
        <f t="shared" si="3"/>
        <v>0.26308821856073134</v>
      </c>
      <c r="G11" s="7"/>
      <c r="H11" s="5">
        <f t="shared" si="4"/>
        <v>21.935617199999996</v>
      </c>
    </row>
    <row r="12" spans="1:11" x14ac:dyDescent="0.3">
      <c r="A12" s="7" t="s">
        <v>12</v>
      </c>
      <c r="B12" s="9">
        <v>241.87072520000001</v>
      </c>
      <c r="C12" s="9">
        <v>38.242529899999987</v>
      </c>
      <c r="D12" s="6">
        <f t="shared" si="2"/>
        <v>-0.84188855485351644</v>
      </c>
      <c r="E12" s="9">
        <v>20.646719600000001</v>
      </c>
      <c r="F12" s="6">
        <f t="shared" si="3"/>
        <v>-0.46011104249669404</v>
      </c>
      <c r="G12" s="7"/>
      <c r="H12" s="5">
        <f t="shared" si="4"/>
        <v>20.646719600000001</v>
      </c>
    </row>
    <row r="13" spans="1:11" x14ac:dyDescent="0.3">
      <c r="A13" s="7" t="s">
        <v>9</v>
      </c>
      <c r="B13" s="9">
        <v>17.098686300000001</v>
      </c>
      <c r="C13" s="9">
        <v>21.097517499999999</v>
      </c>
      <c r="D13" s="6">
        <f t="shared" si="2"/>
        <v>0.23386774456468026</v>
      </c>
      <c r="E13" s="9">
        <v>16.679931499999999</v>
      </c>
      <c r="F13" s="6">
        <f t="shared" si="3"/>
        <v>-0.20938890085053846</v>
      </c>
      <c r="G13" s="7"/>
      <c r="H13" s="5">
        <f t="shared" si="4"/>
        <v>16.679931499999999</v>
      </c>
    </row>
    <row r="14" spans="1:11" x14ac:dyDescent="0.3">
      <c r="A14" s="7" t="s">
        <v>20</v>
      </c>
      <c r="B14" s="9">
        <v>12.186055000000003</v>
      </c>
      <c r="C14" s="9">
        <v>14.193710300000001</v>
      </c>
      <c r="D14" s="6">
        <f t="shared" si="2"/>
        <v>0.16475022474459514</v>
      </c>
      <c r="E14" s="9">
        <v>5.5736144999999997</v>
      </c>
      <c r="F14" s="6">
        <f t="shared" si="3"/>
        <v>-0.60731800338351283</v>
      </c>
      <c r="G14" s="7"/>
      <c r="H14" s="5">
        <f t="shared" si="4"/>
        <v>5.5736144999999997</v>
      </c>
    </row>
    <row r="15" spans="1:11" x14ac:dyDescent="0.3">
      <c r="A15" s="7" t="s">
        <v>7</v>
      </c>
      <c r="B15" s="9">
        <v>8.0207476999999994</v>
      </c>
      <c r="C15" s="9">
        <v>6.6738356999999997</v>
      </c>
      <c r="D15" s="6">
        <f t="shared" si="2"/>
        <v>-0.16792848377464856</v>
      </c>
      <c r="E15" s="9">
        <v>4.8814023999999998</v>
      </c>
      <c r="F15" s="6">
        <f t="shared" si="3"/>
        <v>-0.26857618026167468</v>
      </c>
      <c r="G15" s="7"/>
      <c r="H15" s="5">
        <f t="shared" si="4"/>
        <v>4.8814023999999998</v>
      </c>
    </row>
    <row r="16" spans="1:11" x14ac:dyDescent="0.3">
      <c r="A16" s="7" t="s">
        <v>17</v>
      </c>
      <c r="B16" s="9">
        <v>4.2477593000000002</v>
      </c>
      <c r="C16" s="9">
        <v>6.3332334999999995</v>
      </c>
      <c r="D16" s="6">
        <f t="shared" si="2"/>
        <v>0.4909586567204971</v>
      </c>
      <c r="E16" s="9">
        <v>4.4722812000000003</v>
      </c>
      <c r="F16" s="6">
        <f t="shared" si="3"/>
        <v>-0.29383920551800269</v>
      </c>
      <c r="G16" s="7"/>
      <c r="H16" s="5">
        <f t="shared" si="4"/>
        <v>4.4722812000000003</v>
      </c>
    </row>
    <row r="17" spans="1:8" x14ac:dyDescent="0.3">
      <c r="A17" s="7" t="s">
        <v>6</v>
      </c>
      <c r="B17" s="9">
        <v>3.7643259000000002</v>
      </c>
      <c r="C17" s="9">
        <v>4.1030826999999999</v>
      </c>
      <c r="D17" s="6">
        <f t="shared" si="2"/>
        <v>8.9991358080871692E-2</v>
      </c>
      <c r="E17" s="9">
        <v>2.5245928000000002</v>
      </c>
      <c r="F17" s="6">
        <f t="shared" si="3"/>
        <v>-0.38470828287229009</v>
      </c>
      <c r="G17" s="7"/>
      <c r="H17" s="5">
        <f t="shared" si="4"/>
        <v>2.5245928000000002</v>
      </c>
    </row>
    <row r="18" spans="1:8" x14ac:dyDescent="0.3">
      <c r="A18" s="7" t="s">
        <v>3</v>
      </c>
      <c r="B18" s="9">
        <v>2.0636999999999999</v>
      </c>
      <c r="C18" s="9">
        <v>2.2679974999999999</v>
      </c>
      <c r="D18" s="6">
        <f t="shared" si="2"/>
        <v>9.8995735814314118E-2</v>
      </c>
      <c r="E18" s="9">
        <v>1.4525989000000001</v>
      </c>
      <c r="F18" s="6">
        <f t="shared" si="3"/>
        <v>-0.35952358854011074</v>
      </c>
      <c r="G18" s="7"/>
      <c r="H18" s="5">
        <f t="shared" si="4"/>
        <v>1.4525989000000001</v>
      </c>
    </row>
    <row r="19" spans="1:8" x14ac:dyDescent="0.3">
      <c r="A19" s="7" t="s">
        <v>16</v>
      </c>
      <c r="B19" s="9">
        <v>1.2646782999999999</v>
      </c>
      <c r="C19" s="9">
        <v>0.14849999999999999</v>
      </c>
      <c r="D19" s="6">
        <f t="shared" si="2"/>
        <v>-0.88257883447513874</v>
      </c>
      <c r="E19" s="9">
        <v>0.9206998999999999</v>
      </c>
      <c r="F19" s="6">
        <f t="shared" si="3"/>
        <v>5.1999993265993263</v>
      </c>
      <c r="G19" s="7"/>
      <c r="H19" s="5">
        <f t="shared" si="4"/>
        <v>0.9206998999999999</v>
      </c>
    </row>
    <row r="20" spans="1:8" x14ac:dyDescent="0.3">
      <c r="A20" s="7" t="s">
        <v>4</v>
      </c>
      <c r="B20" s="9">
        <v>2.2508977000000003</v>
      </c>
      <c r="C20" s="9">
        <v>2.6215958999999995</v>
      </c>
      <c r="D20" s="6">
        <f t="shared" si="2"/>
        <v>0.16468904828504607</v>
      </c>
      <c r="E20" s="9">
        <v>0.79424989999999995</v>
      </c>
      <c r="F20" s="6">
        <f t="shared" si="3"/>
        <v>-0.6970357254525763</v>
      </c>
      <c r="G20" s="7"/>
      <c r="H20" s="5">
        <f t="shared" si="4"/>
        <v>0.79424989999999995</v>
      </c>
    </row>
    <row r="21" spans="1:8" x14ac:dyDescent="0.3">
      <c r="A21" s="7" t="s">
        <v>13</v>
      </c>
      <c r="B21" s="9">
        <v>1.9331812999999998</v>
      </c>
      <c r="C21" s="9">
        <v>2.4058796999999998</v>
      </c>
      <c r="D21" s="6">
        <f t="shared" si="2"/>
        <v>0.2445184008349347</v>
      </c>
      <c r="E21" s="9">
        <v>0.77384480000000011</v>
      </c>
      <c r="F21" s="6">
        <f t="shared" si="3"/>
        <v>-0.67835266243777692</v>
      </c>
      <c r="G21" s="7"/>
      <c r="H21" s="5">
        <f t="shared" si="4"/>
        <v>0.77384480000000011</v>
      </c>
    </row>
    <row r="22" spans="1:8" x14ac:dyDescent="0.3">
      <c r="A22" s="7" t="s">
        <v>24</v>
      </c>
      <c r="B22" s="9">
        <v>0</v>
      </c>
      <c r="C22" s="9">
        <v>0.18720000000000001</v>
      </c>
      <c r="D22" s="6" t="e">
        <f t="shared" si="2"/>
        <v>#DIV/0!</v>
      </c>
      <c r="E22" s="9">
        <v>0.18720000000000001</v>
      </c>
      <c r="F22" s="6">
        <f t="shared" si="3"/>
        <v>0</v>
      </c>
      <c r="G22" s="7"/>
      <c r="H22" s="5">
        <f t="shared" si="4"/>
        <v>0.18720000000000001</v>
      </c>
    </row>
    <row r="23" spans="1:8" x14ac:dyDescent="0.3">
      <c r="A23" s="17" t="s">
        <v>1</v>
      </c>
      <c r="B23" s="18">
        <v>338.99972500000001</v>
      </c>
      <c r="C23" s="18">
        <v>154.49483639999997</v>
      </c>
      <c r="D23" s="16">
        <f t="shared" si="2"/>
        <v>-0.54426264977058625</v>
      </c>
      <c r="E23" s="18">
        <v>109.63014939999998</v>
      </c>
      <c r="F23" s="16">
        <f t="shared" si="3"/>
        <v>-0.29039602905459949</v>
      </c>
      <c r="G23" s="17"/>
      <c r="H23" s="15">
        <f t="shared" si="4"/>
        <v>109.63014939999998</v>
      </c>
    </row>
    <row r="25" spans="1:8" x14ac:dyDescent="0.3">
      <c r="A25" s="10" t="s">
        <v>38</v>
      </c>
    </row>
    <row r="26" spans="1:8" x14ac:dyDescent="0.3">
      <c r="A26" s="4" t="s">
        <v>0</v>
      </c>
      <c r="B26" s="4" t="s">
        <v>41</v>
      </c>
      <c r="C26" s="4" t="s">
        <v>42</v>
      </c>
      <c r="D26" s="4" t="s">
        <v>33</v>
      </c>
      <c r="E26" s="4" t="s">
        <v>44</v>
      </c>
      <c r="F26" s="4" t="s">
        <v>34</v>
      </c>
      <c r="G26" s="4" t="s">
        <v>31</v>
      </c>
      <c r="H26" s="4" t="s">
        <v>32</v>
      </c>
    </row>
    <row r="27" spans="1:8" x14ac:dyDescent="0.3">
      <c r="A27" s="5" t="s">
        <v>14</v>
      </c>
      <c r="B27" s="5">
        <v>8.6667741000000014</v>
      </c>
      <c r="C27" s="5">
        <v>19.857302000000001</v>
      </c>
      <c r="D27" s="6">
        <f t="shared" ref="D27:D32" si="5">(C27-B27)/B27</f>
        <v>1.2911987517939343</v>
      </c>
      <c r="E27" s="5">
        <v>30.286662100000001</v>
      </c>
      <c r="F27" s="6">
        <f t="shared" ref="F27:F32" si="6">(E27-C27)/C27</f>
        <v>0.52521536410132652</v>
      </c>
      <c r="G27" s="7"/>
      <c r="H27" s="5">
        <f t="shared" ref="H27:H34" si="7">G27+E27</f>
        <v>30.286662100000001</v>
      </c>
    </row>
    <row r="28" spans="1:8" x14ac:dyDescent="0.3">
      <c r="A28" s="5" t="s">
        <v>5</v>
      </c>
      <c r="B28" s="5">
        <v>3.0162095999999998</v>
      </c>
      <c r="C28" s="5">
        <v>4.7924430999999998</v>
      </c>
      <c r="D28" s="6">
        <f t="shared" si="5"/>
        <v>0.58889591094730287</v>
      </c>
      <c r="E28" s="5">
        <v>2.0528114999999998</v>
      </c>
      <c r="F28" s="6">
        <f t="shared" si="6"/>
        <v>-0.57165657324131824</v>
      </c>
      <c r="G28" s="7"/>
      <c r="H28" s="5">
        <f t="shared" si="7"/>
        <v>2.0528114999999998</v>
      </c>
    </row>
    <row r="29" spans="1:8" x14ac:dyDescent="0.3">
      <c r="A29" s="5" t="s">
        <v>8</v>
      </c>
      <c r="B29" s="5">
        <v>1.5799611999999998</v>
      </c>
      <c r="C29" s="5">
        <v>2.3200231999999996</v>
      </c>
      <c r="D29" s="6">
        <f t="shared" si="5"/>
        <v>0.4684051734941338</v>
      </c>
      <c r="E29" s="5">
        <v>1.7131329000000002</v>
      </c>
      <c r="F29" s="6">
        <f t="shared" si="6"/>
        <v>-0.26158803067141723</v>
      </c>
      <c r="G29" s="7"/>
      <c r="H29" s="5">
        <f t="shared" si="7"/>
        <v>1.7131329000000002</v>
      </c>
    </row>
    <row r="30" spans="1:8" x14ac:dyDescent="0.3">
      <c r="A30" s="5" t="s">
        <v>11</v>
      </c>
      <c r="B30" s="5">
        <v>1.4994009999999998</v>
      </c>
      <c r="C30" s="5">
        <v>3.3822912000000001</v>
      </c>
      <c r="D30" s="6">
        <f t="shared" si="5"/>
        <v>1.2557616007992529</v>
      </c>
      <c r="E30" s="5">
        <v>1.4223602000000002</v>
      </c>
      <c r="F30" s="6">
        <f t="shared" si="6"/>
        <v>-0.57946843843605178</v>
      </c>
      <c r="G30" s="7"/>
      <c r="H30" s="5">
        <f t="shared" si="7"/>
        <v>1.4223602000000002</v>
      </c>
    </row>
    <row r="31" spans="1:8" x14ac:dyDescent="0.3">
      <c r="A31" s="5" t="s">
        <v>23</v>
      </c>
      <c r="B31" s="5">
        <v>4.3847912999999998</v>
      </c>
      <c r="C31" s="5">
        <v>3.7018359000000003</v>
      </c>
      <c r="D31" s="6">
        <f t="shared" si="5"/>
        <v>-0.15575550881976974</v>
      </c>
      <c r="E31" s="5">
        <v>1.1884053000000001</v>
      </c>
      <c r="F31" s="6">
        <f t="shared" si="6"/>
        <v>-0.67896867065339128</v>
      </c>
      <c r="G31" s="7"/>
      <c r="H31" s="5">
        <f t="shared" si="7"/>
        <v>1.1884053000000001</v>
      </c>
    </row>
    <row r="32" spans="1:8" x14ac:dyDescent="0.3">
      <c r="A32" s="5" t="s">
        <v>4</v>
      </c>
      <c r="B32" s="5">
        <v>0.44712030000000008</v>
      </c>
      <c r="C32" s="5">
        <v>0.53864999999999996</v>
      </c>
      <c r="D32" s="6">
        <f t="shared" si="5"/>
        <v>0.20470933661477653</v>
      </c>
      <c r="E32" s="5">
        <v>0.88222540000000005</v>
      </c>
      <c r="F32" s="6">
        <f t="shared" si="6"/>
        <v>0.63784535412605603</v>
      </c>
      <c r="G32" s="7"/>
      <c r="H32" s="5">
        <f t="shared" si="7"/>
        <v>0.88222540000000005</v>
      </c>
    </row>
    <row r="33" spans="1:8" x14ac:dyDescent="0.3">
      <c r="A33" s="5" t="s">
        <v>22</v>
      </c>
      <c r="B33" s="5">
        <v>0.26964150000000003</v>
      </c>
      <c r="C33" s="5">
        <v>0.38148669999999996</v>
      </c>
      <c r="D33" s="5"/>
      <c r="E33" s="5">
        <v>0.13092000000000001</v>
      </c>
      <c r="F33" s="7"/>
      <c r="G33" s="7"/>
      <c r="H33" s="5">
        <f t="shared" si="7"/>
        <v>0.13092000000000001</v>
      </c>
    </row>
    <row r="34" spans="1:8" x14ac:dyDescent="0.3">
      <c r="A34" s="15" t="s">
        <v>1</v>
      </c>
      <c r="B34" s="15">
        <v>19.863899</v>
      </c>
      <c r="C34" s="15">
        <v>34.974032100000002</v>
      </c>
      <c r="D34" s="16">
        <f>(C34-B34)/B34</f>
        <v>0.76068314181420282</v>
      </c>
      <c r="E34" s="15">
        <v>37.676517400000002</v>
      </c>
      <c r="F34" s="16">
        <f>(E34-C34)/C34</f>
        <v>7.7271196305672724E-2</v>
      </c>
      <c r="G34" s="17"/>
      <c r="H34" s="15">
        <f t="shared" si="7"/>
        <v>37.676517400000002</v>
      </c>
    </row>
    <row r="35" spans="1:8" x14ac:dyDescent="0.3">
      <c r="A35" s="1"/>
      <c r="B35" s="1"/>
      <c r="C35" s="1"/>
      <c r="D35" s="3"/>
      <c r="E35" s="1"/>
      <c r="F35" s="3"/>
      <c r="H35" s="14"/>
    </row>
    <row r="36" spans="1:8" x14ac:dyDescent="0.3">
      <c r="A36" s="10" t="s">
        <v>39</v>
      </c>
    </row>
    <row r="37" spans="1:8" x14ac:dyDescent="0.3">
      <c r="A37" s="4" t="s">
        <v>0</v>
      </c>
      <c r="B37" s="4" t="s">
        <v>41</v>
      </c>
      <c r="C37" s="4" t="s">
        <v>42</v>
      </c>
      <c r="D37" s="4" t="s">
        <v>33</v>
      </c>
      <c r="E37" s="4" t="s">
        <v>44</v>
      </c>
      <c r="F37" s="4" t="s">
        <v>34</v>
      </c>
      <c r="G37" s="4" t="s">
        <v>31</v>
      </c>
      <c r="H37" s="4" t="s">
        <v>32</v>
      </c>
    </row>
    <row r="38" spans="1:8" x14ac:dyDescent="0.3">
      <c r="A38" s="5" t="s">
        <v>15</v>
      </c>
      <c r="B38" s="5">
        <v>63.795865999999997</v>
      </c>
      <c r="C38" s="5">
        <v>100.6041584</v>
      </c>
      <c r="D38" s="6">
        <f t="shared" ref="D38:D41" si="8">(C38-B38)/B38</f>
        <v>0.57696986823566287</v>
      </c>
      <c r="E38" s="5">
        <v>205.79738840000005</v>
      </c>
      <c r="F38" s="6">
        <f t="shared" ref="F38:F41" si="9">(E38-C38)/C38</f>
        <v>1.0456151283702806</v>
      </c>
      <c r="G38" s="7"/>
      <c r="H38" s="5">
        <f>G38+E38</f>
        <v>205.79738840000005</v>
      </c>
    </row>
    <row r="39" spans="1:8" x14ac:dyDescent="0.3">
      <c r="A39" s="5" t="s">
        <v>19</v>
      </c>
      <c r="B39" s="5">
        <v>91.215187700000001</v>
      </c>
      <c r="C39" s="5">
        <v>72.232299800000007</v>
      </c>
      <c r="D39" s="6">
        <f t="shared" si="8"/>
        <v>-0.20811104355157725</v>
      </c>
      <c r="E39" s="5">
        <v>162.04795759999999</v>
      </c>
      <c r="F39" s="6">
        <f t="shared" si="9"/>
        <v>1.2434279131176158</v>
      </c>
      <c r="G39" s="7"/>
      <c r="H39" s="5">
        <f>G39+E39</f>
        <v>162.04795759999999</v>
      </c>
    </row>
    <row r="40" spans="1:8" x14ac:dyDescent="0.3">
      <c r="A40" s="5" t="s">
        <v>26</v>
      </c>
      <c r="B40" s="5">
        <v>33.069241300000002</v>
      </c>
      <c r="C40" s="5">
        <v>21.0218433</v>
      </c>
      <c r="D40" s="6">
        <f t="shared" si="8"/>
        <v>-0.36430826733239874</v>
      </c>
      <c r="E40" s="5">
        <v>67.321837200000004</v>
      </c>
      <c r="F40" s="6">
        <f t="shared" si="9"/>
        <v>2.2024706986565734</v>
      </c>
      <c r="G40" s="7"/>
      <c r="H40" s="5">
        <f>G40+E40</f>
        <v>67.321837200000004</v>
      </c>
    </row>
    <row r="41" spans="1:8" x14ac:dyDescent="0.3">
      <c r="A41" s="15" t="s">
        <v>1</v>
      </c>
      <c r="B41" s="15">
        <v>188.08029500000001</v>
      </c>
      <c r="C41" s="15">
        <v>193.85830149999998</v>
      </c>
      <c r="D41" s="16">
        <f t="shared" si="8"/>
        <v>3.0720956174595405E-2</v>
      </c>
      <c r="E41" s="15">
        <v>435.16718320000001</v>
      </c>
      <c r="F41" s="16">
        <f t="shared" si="9"/>
        <v>1.2447694002931313</v>
      </c>
      <c r="G41" s="17"/>
      <c r="H41" s="15">
        <f>G41+E41</f>
        <v>435.16718320000001</v>
      </c>
    </row>
    <row r="43" spans="1:8" x14ac:dyDescent="0.3">
      <c r="A43" s="12" t="s">
        <v>40</v>
      </c>
    </row>
    <row r="44" spans="1:8" x14ac:dyDescent="0.3">
      <c r="A44" s="4" t="s">
        <v>0</v>
      </c>
      <c r="B44" s="4" t="s">
        <v>41</v>
      </c>
      <c r="C44" s="4" t="s">
        <v>42</v>
      </c>
      <c r="D44" s="4" t="s">
        <v>33</v>
      </c>
      <c r="E44" s="4" t="s">
        <v>44</v>
      </c>
      <c r="F44" s="4" t="s">
        <v>34</v>
      </c>
      <c r="G44" s="4" t="s">
        <v>31</v>
      </c>
      <c r="H44" s="4" t="s">
        <v>32</v>
      </c>
    </row>
    <row r="45" spans="1:8" x14ac:dyDescent="0.3">
      <c r="A45" s="5" t="s">
        <v>28</v>
      </c>
      <c r="B45" s="5">
        <v>2.616161</v>
      </c>
      <c r="C45" s="5">
        <v>2.1640000000000001</v>
      </c>
      <c r="D45" s="6">
        <f t="shared" ref="D45:D46" si="10">(C45-B45)/B45</f>
        <v>-0.17283378201876712</v>
      </c>
      <c r="E45" s="5">
        <v>0</v>
      </c>
      <c r="F45" s="6">
        <f t="shared" ref="F45:F46" si="11">(E45-C45)/C45</f>
        <v>-1</v>
      </c>
      <c r="G45" s="7"/>
      <c r="H45" s="5">
        <f>G45+E45</f>
        <v>0</v>
      </c>
    </row>
    <row r="46" spans="1:8" x14ac:dyDescent="0.3">
      <c r="A46" s="15" t="s">
        <v>1</v>
      </c>
      <c r="B46" s="15">
        <v>2.616161</v>
      </c>
      <c r="C46" s="15">
        <v>2.1640000000000001</v>
      </c>
      <c r="D46" s="16">
        <f t="shared" si="10"/>
        <v>-0.17283378201876712</v>
      </c>
      <c r="E46" s="15">
        <v>0</v>
      </c>
      <c r="F46" s="16">
        <f t="shared" si="11"/>
        <v>-1</v>
      </c>
      <c r="G46" s="17"/>
      <c r="H46" s="15">
        <f>G46+E46</f>
        <v>0</v>
      </c>
    </row>
    <row r="47" spans="1:8" x14ac:dyDescent="0.3">
      <c r="A47" s="1"/>
      <c r="B47" s="1"/>
      <c r="C47" s="1"/>
      <c r="D47" s="1"/>
      <c r="E47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7859-65A3-4F1D-9037-A82112FE4320}">
  <dimension ref="A1:K45"/>
  <sheetViews>
    <sheetView workbookViewId="0">
      <selection activeCell="J14" sqref="J14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1" x14ac:dyDescent="0.3">
      <c r="A2" s="5" t="s">
        <v>18</v>
      </c>
      <c r="B2" s="5">
        <v>57.550460000000001</v>
      </c>
      <c r="C2" s="5">
        <v>79.629199999999997</v>
      </c>
      <c r="D2" s="6">
        <f>(C2-B2)/B2</f>
        <v>0.38364141659336859</v>
      </c>
      <c r="E2" s="5">
        <v>119.07333000000001</v>
      </c>
      <c r="F2" s="6">
        <f>(E2-C2)/C2</f>
        <v>0.49534756094498017</v>
      </c>
      <c r="G2" s="7"/>
      <c r="H2" s="5">
        <f>G2+E2</f>
        <v>119.07333000000001</v>
      </c>
      <c r="K2">
        <v>100000</v>
      </c>
    </row>
    <row r="3" spans="1:11" x14ac:dyDescent="0.3">
      <c r="A3" s="5" t="s">
        <v>2</v>
      </c>
      <c r="B3" s="5">
        <v>50.375028999999977</v>
      </c>
      <c r="C3" s="5">
        <v>60.354436900000003</v>
      </c>
      <c r="D3" s="6">
        <f t="shared" ref="D3:D6" si="0">(C3-B3)/B3</f>
        <v>0.19810227603045213</v>
      </c>
      <c r="E3" s="5">
        <v>79.521294699999956</v>
      </c>
      <c r="F3" s="6">
        <f t="shared" ref="F3:F6" si="1">(E3-C3)/C3</f>
        <v>0.3175716448445558</v>
      </c>
      <c r="G3" s="7"/>
      <c r="H3" s="5">
        <f>G3+E3</f>
        <v>79.521294699999956</v>
      </c>
    </row>
    <row r="4" spans="1:11" x14ac:dyDescent="0.3">
      <c r="A4" s="5" t="s">
        <v>10</v>
      </c>
      <c r="B4" s="5">
        <v>17.979851000000004</v>
      </c>
      <c r="C4" s="5">
        <v>31.93158309999999</v>
      </c>
      <c r="D4" s="6">
        <f t="shared" si="0"/>
        <v>0.77596483419133921</v>
      </c>
      <c r="E4" s="5">
        <v>25.017495300000007</v>
      </c>
      <c r="F4" s="6">
        <f t="shared" si="1"/>
        <v>-0.21652818710388289</v>
      </c>
      <c r="G4" s="7"/>
      <c r="H4" s="5">
        <f>G4+E4</f>
        <v>25.017495300000007</v>
      </c>
    </row>
    <row r="5" spans="1:11" x14ac:dyDescent="0.3">
      <c r="A5" s="5" t="s">
        <v>25</v>
      </c>
      <c r="B5" s="5">
        <v>0.16800000000000001</v>
      </c>
      <c r="C5" s="5">
        <v>0.5</v>
      </c>
      <c r="D5" s="6">
        <f t="shared" si="0"/>
        <v>1.9761904761904758</v>
      </c>
      <c r="E5" s="5">
        <v>0</v>
      </c>
      <c r="F5" s="6">
        <f t="shared" si="1"/>
        <v>-1</v>
      </c>
      <c r="G5" s="7"/>
      <c r="H5" s="5">
        <f>G5+E5</f>
        <v>0</v>
      </c>
    </row>
    <row r="6" spans="1:11" x14ac:dyDescent="0.3">
      <c r="A6" s="15" t="s">
        <v>1</v>
      </c>
      <c r="B6" s="15">
        <v>126.07333999999999</v>
      </c>
      <c r="C6" s="15">
        <v>172.41522000000001</v>
      </c>
      <c r="D6" s="16">
        <f t="shared" si="0"/>
        <v>0.36757874424521492</v>
      </c>
      <c r="E6" s="15">
        <v>223.61212</v>
      </c>
      <c r="F6" s="16">
        <f t="shared" si="1"/>
        <v>0.29693956252818049</v>
      </c>
      <c r="G6" s="17"/>
      <c r="H6" s="15">
        <f>G6+E6</f>
        <v>223.61212</v>
      </c>
    </row>
    <row r="8" spans="1:11" x14ac:dyDescent="0.3">
      <c r="A8" s="10" t="s">
        <v>37</v>
      </c>
    </row>
    <row r="9" spans="1:11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1" x14ac:dyDescent="0.3">
      <c r="A10" s="5" t="s">
        <v>4</v>
      </c>
      <c r="B10" s="5">
        <v>4.6737024000000007</v>
      </c>
      <c r="C10" s="5">
        <v>14.742556</v>
      </c>
      <c r="D10" s="6">
        <f t="shared" ref="D10:D23" si="2">(C10-B10)/B10</f>
        <v>2.1543634442792077</v>
      </c>
      <c r="E10" s="5">
        <v>45.566116700000009</v>
      </c>
      <c r="F10" s="6">
        <f t="shared" ref="F10:F19" si="3">(E10-C10)/C10</f>
        <v>2.0907881035011844</v>
      </c>
      <c r="G10" s="7"/>
      <c r="H10" s="5">
        <f t="shared" ref="H10:H23" si="4">G10+E10</f>
        <v>45.566116700000009</v>
      </c>
    </row>
    <row r="11" spans="1:11" x14ac:dyDescent="0.3">
      <c r="A11" s="5" t="s">
        <v>12</v>
      </c>
      <c r="B11" s="5">
        <v>7.5767453000000007</v>
      </c>
      <c r="C11" s="5">
        <v>17.118096699999999</v>
      </c>
      <c r="D11" s="6">
        <f t="shared" si="2"/>
        <v>1.2592941985261135</v>
      </c>
      <c r="E11" s="5">
        <v>13.237205100000001</v>
      </c>
      <c r="F11" s="6">
        <f t="shared" si="3"/>
        <v>-0.22671279804138497</v>
      </c>
      <c r="G11" s="7"/>
      <c r="H11" s="5">
        <f t="shared" si="4"/>
        <v>13.237205100000001</v>
      </c>
    </row>
    <row r="12" spans="1:11" x14ac:dyDescent="0.3">
      <c r="A12" s="5" t="s">
        <v>20</v>
      </c>
      <c r="B12" s="5">
        <v>8.3572200999999993</v>
      </c>
      <c r="C12" s="5">
        <v>9.1810363000000006</v>
      </c>
      <c r="D12" s="6">
        <f t="shared" si="2"/>
        <v>9.8575386329720016E-2</v>
      </c>
      <c r="E12" s="5">
        <v>5.3757118000000004</v>
      </c>
      <c r="F12" s="6">
        <f t="shared" si="3"/>
        <v>-0.41447657711580987</v>
      </c>
      <c r="G12" s="7"/>
      <c r="H12" s="5">
        <f t="shared" si="4"/>
        <v>5.3757118000000004</v>
      </c>
    </row>
    <row r="13" spans="1:11" x14ac:dyDescent="0.3">
      <c r="A13" s="5" t="s">
        <v>5</v>
      </c>
      <c r="B13" s="5">
        <v>3.3727149999999999</v>
      </c>
      <c r="C13" s="5">
        <v>1.21028</v>
      </c>
      <c r="D13" s="6">
        <f t="shared" si="2"/>
        <v>-0.64115556754721348</v>
      </c>
      <c r="E13" s="5">
        <v>3.9345308999999995</v>
      </c>
      <c r="F13" s="6">
        <f t="shared" si="3"/>
        <v>2.2509261493208177</v>
      </c>
      <c r="G13" s="7"/>
      <c r="H13" s="5">
        <f t="shared" si="4"/>
        <v>3.9345308999999995</v>
      </c>
    </row>
    <row r="14" spans="1:11" x14ac:dyDescent="0.3">
      <c r="A14" s="5" t="s">
        <v>9</v>
      </c>
      <c r="B14" s="5">
        <v>5.1129324000000009</v>
      </c>
      <c r="C14" s="5">
        <v>2.8900496999999996</v>
      </c>
      <c r="D14" s="6">
        <f t="shared" si="2"/>
        <v>-0.43475691170882702</v>
      </c>
      <c r="E14" s="5">
        <v>2.9285560999999993</v>
      </c>
      <c r="F14" s="6">
        <f t="shared" si="3"/>
        <v>1.3323784708615815E-2</v>
      </c>
      <c r="G14" s="7"/>
      <c r="H14" s="5">
        <f t="shared" si="4"/>
        <v>2.9285560999999993</v>
      </c>
    </row>
    <row r="15" spans="1:11" x14ac:dyDescent="0.3">
      <c r="A15" s="5" t="s">
        <v>8</v>
      </c>
      <c r="B15" s="5">
        <v>11.818182</v>
      </c>
      <c r="C15" s="5">
        <v>11.6431422</v>
      </c>
      <c r="D15" s="6">
        <f t="shared" si="2"/>
        <v>-1.4811059772137576E-2</v>
      </c>
      <c r="E15" s="5">
        <v>2.7634731000000006</v>
      </c>
      <c r="F15" s="6">
        <f t="shared" si="3"/>
        <v>-0.76265229329587669</v>
      </c>
      <c r="G15" s="7"/>
      <c r="H15" s="5">
        <f t="shared" si="4"/>
        <v>2.7634731000000006</v>
      </c>
    </row>
    <row r="16" spans="1:11" x14ac:dyDescent="0.3">
      <c r="A16" s="5" t="s">
        <v>16</v>
      </c>
      <c r="B16" s="5">
        <v>1.1898949999999999</v>
      </c>
      <c r="C16" s="5">
        <v>1.2394532999999999</v>
      </c>
      <c r="D16" s="6">
        <f t="shared" si="2"/>
        <v>4.16493051907941E-2</v>
      </c>
      <c r="E16" s="5">
        <v>2.5740020999999995</v>
      </c>
      <c r="F16" s="6">
        <f t="shared" si="3"/>
        <v>1.0767237458644063</v>
      </c>
      <c r="G16" s="7"/>
      <c r="H16" s="5">
        <f t="shared" si="4"/>
        <v>2.5740020999999995</v>
      </c>
    </row>
    <row r="17" spans="1:8" x14ac:dyDescent="0.3">
      <c r="A17" s="5" t="s">
        <v>6</v>
      </c>
      <c r="B17" s="5">
        <v>1.4912459</v>
      </c>
      <c r="C17" s="5">
        <v>1.4841928</v>
      </c>
      <c r="D17" s="6">
        <f t="shared" si="2"/>
        <v>-4.7296693322007016E-3</v>
      </c>
      <c r="E17" s="5">
        <v>1.0027246000000001</v>
      </c>
      <c r="F17" s="6">
        <f t="shared" si="3"/>
        <v>-0.32439734244769269</v>
      </c>
      <c r="G17" s="7"/>
      <c r="H17" s="5">
        <f t="shared" si="4"/>
        <v>1.0027246000000001</v>
      </c>
    </row>
    <row r="18" spans="1:8" x14ac:dyDescent="0.3">
      <c r="A18" s="5" t="s">
        <v>7</v>
      </c>
      <c r="B18" s="5">
        <v>0.89480039999999994</v>
      </c>
      <c r="C18" s="5">
        <v>0.48621429999999999</v>
      </c>
      <c r="D18" s="6">
        <f t="shared" si="2"/>
        <v>-0.45662261661930414</v>
      </c>
      <c r="E18" s="5">
        <v>0.66978249999999984</v>
      </c>
      <c r="F18" s="6">
        <f t="shared" si="3"/>
        <v>0.37754586814908542</v>
      </c>
      <c r="G18" s="7"/>
      <c r="H18" s="5">
        <f t="shared" si="4"/>
        <v>0.66978249999999984</v>
      </c>
    </row>
    <row r="19" spans="1:8" x14ac:dyDescent="0.3">
      <c r="A19" s="5" t="s">
        <v>21</v>
      </c>
      <c r="B19" s="5">
        <v>0.44856400000000002</v>
      </c>
      <c r="C19" s="5">
        <v>0.75330180000000002</v>
      </c>
      <c r="D19" s="6">
        <f t="shared" si="2"/>
        <v>0.67936303403750631</v>
      </c>
      <c r="E19" s="5">
        <v>0.57859379999999994</v>
      </c>
      <c r="F19" s="6">
        <f t="shared" si="3"/>
        <v>-0.23192298226288599</v>
      </c>
      <c r="G19" s="7"/>
      <c r="H19" s="5">
        <f t="shared" si="4"/>
        <v>0.57859379999999994</v>
      </c>
    </row>
    <row r="20" spans="1:8" x14ac:dyDescent="0.3">
      <c r="A20" s="5" t="s">
        <v>17</v>
      </c>
      <c r="B20" s="5">
        <v>3.0656534999999998</v>
      </c>
      <c r="C20" s="5">
        <v>-0.46174840000000011</v>
      </c>
      <c r="D20" s="6">
        <f t="shared" si="2"/>
        <v>-1.1506198923002877</v>
      </c>
      <c r="E20" s="5">
        <v>0.48564119999999994</v>
      </c>
      <c r="F20" s="7"/>
      <c r="G20" s="7"/>
      <c r="H20" s="5">
        <f t="shared" si="4"/>
        <v>0.48564119999999994</v>
      </c>
    </row>
    <row r="21" spans="1:8" x14ac:dyDescent="0.3">
      <c r="A21" s="5" t="s">
        <v>3</v>
      </c>
      <c r="B21" s="5">
        <v>0.7377286999999999</v>
      </c>
      <c r="C21" s="5">
        <v>0.12006069999999999</v>
      </c>
      <c r="D21" s="6">
        <f t="shared" si="2"/>
        <v>-0.83725629760642351</v>
      </c>
      <c r="E21" s="5">
        <v>0.39595589999999997</v>
      </c>
      <c r="F21" s="7"/>
      <c r="G21" s="7"/>
      <c r="H21" s="5">
        <f t="shared" si="4"/>
        <v>0.39595589999999997</v>
      </c>
    </row>
    <row r="22" spans="1:8" x14ac:dyDescent="0.3">
      <c r="A22" s="5" t="s">
        <v>13</v>
      </c>
      <c r="B22" s="5">
        <v>1.6356442999999998</v>
      </c>
      <c r="C22" s="5">
        <v>-5.2198499999999995E-2</v>
      </c>
      <c r="D22" s="6">
        <f t="shared" si="2"/>
        <v>-1.0319131121601439</v>
      </c>
      <c r="E22" s="5">
        <v>9.0009000000000009E-3</v>
      </c>
      <c r="F22" s="7"/>
      <c r="G22" s="7"/>
      <c r="H22" s="5">
        <f t="shared" si="4"/>
        <v>9.0009000000000009E-3</v>
      </c>
    </row>
    <row r="23" spans="1:8" x14ac:dyDescent="0.3">
      <c r="A23" s="15" t="s">
        <v>1</v>
      </c>
      <c r="B23" s="15">
        <v>50.375029000000005</v>
      </c>
      <c r="C23" s="15">
        <v>60.354436899999996</v>
      </c>
      <c r="D23" s="16">
        <f t="shared" si="2"/>
        <v>0.19810227603045133</v>
      </c>
      <c r="E23" s="15">
        <v>79.521294700000013</v>
      </c>
      <c r="F23" s="16">
        <f>(E23-C23)/C23</f>
        <v>0.31757164484455686</v>
      </c>
      <c r="G23" s="17"/>
      <c r="H23" s="15">
        <f t="shared" si="4"/>
        <v>79.521294700000013</v>
      </c>
    </row>
    <row r="25" spans="1:8" x14ac:dyDescent="0.3">
      <c r="A25" s="10" t="s">
        <v>38</v>
      </c>
    </row>
    <row r="26" spans="1:8" x14ac:dyDescent="0.3">
      <c r="A26" s="4" t="s">
        <v>0</v>
      </c>
      <c r="B26" s="4" t="s">
        <v>41</v>
      </c>
      <c r="C26" s="4" t="s">
        <v>42</v>
      </c>
      <c r="D26" s="4" t="s">
        <v>33</v>
      </c>
      <c r="E26" s="4" t="s">
        <v>44</v>
      </c>
      <c r="F26" s="4" t="s">
        <v>34</v>
      </c>
      <c r="G26" s="4" t="s">
        <v>31</v>
      </c>
      <c r="H26" s="4" t="s">
        <v>32</v>
      </c>
    </row>
    <row r="27" spans="1:8" x14ac:dyDescent="0.3">
      <c r="A27" s="5" t="s">
        <v>14</v>
      </c>
      <c r="B27" s="5">
        <v>8.4187154</v>
      </c>
      <c r="C27" s="5">
        <v>18.386279999999999</v>
      </c>
      <c r="D27" s="6">
        <f t="shared" ref="D27:D34" si="5">(C27-B27)/B27</f>
        <v>1.1839769045999582</v>
      </c>
      <c r="E27" s="5">
        <v>14.436017000000001</v>
      </c>
      <c r="F27" s="6">
        <f t="shared" ref="F27:F34" si="6">(E27-C27)/C27</f>
        <v>-0.21484840870475147</v>
      </c>
      <c r="G27" s="7"/>
      <c r="H27" s="5">
        <f t="shared" ref="H27:H34" si="7">G27+E27</f>
        <v>14.436017000000001</v>
      </c>
    </row>
    <row r="28" spans="1:8" x14ac:dyDescent="0.3">
      <c r="A28" s="5" t="s">
        <v>4</v>
      </c>
      <c r="B28" s="5">
        <v>2.6617844999999996</v>
      </c>
      <c r="C28" s="5">
        <v>5.7391979000000006</v>
      </c>
      <c r="D28" s="6">
        <f t="shared" si="5"/>
        <v>1.1561467128537271</v>
      </c>
      <c r="E28" s="5">
        <v>5.5903799999999997</v>
      </c>
      <c r="F28" s="6">
        <f t="shared" si="6"/>
        <v>-2.5930086850638297E-2</v>
      </c>
      <c r="G28" s="7"/>
      <c r="H28" s="5">
        <f t="shared" si="7"/>
        <v>5.5903799999999997</v>
      </c>
    </row>
    <row r="29" spans="1:8" x14ac:dyDescent="0.3">
      <c r="A29" s="5" t="s">
        <v>8</v>
      </c>
      <c r="B29" s="5">
        <v>2.5055749999999999</v>
      </c>
      <c r="C29" s="5">
        <v>2.4301868999999998</v>
      </c>
      <c r="D29" s="6">
        <f t="shared" si="5"/>
        <v>-3.0088143440128542E-2</v>
      </c>
      <c r="E29" s="5">
        <v>1.4314988999999998</v>
      </c>
      <c r="F29" s="6">
        <f t="shared" si="6"/>
        <v>-0.41095110832833481</v>
      </c>
      <c r="G29" s="7"/>
      <c r="H29" s="5">
        <f t="shared" si="7"/>
        <v>1.4314988999999998</v>
      </c>
    </row>
    <row r="30" spans="1:8" x14ac:dyDescent="0.3">
      <c r="A30" s="5" t="s">
        <v>22</v>
      </c>
      <c r="B30" s="5">
        <v>1.1968664</v>
      </c>
      <c r="C30" s="5">
        <v>1.52945</v>
      </c>
      <c r="D30" s="6">
        <f t="shared" si="5"/>
        <v>0.27787863373890348</v>
      </c>
      <c r="E30" s="5">
        <v>1.4137227999999999</v>
      </c>
      <c r="F30" s="6">
        <f t="shared" si="6"/>
        <v>-7.5665892968060436E-2</v>
      </c>
      <c r="G30" s="7"/>
      <c r="H30" s="5">
        <f t="shared" si="7"/>
        <v>1.4137227999999999</v>
      </c>
    </row>
    <row r="31" spans="1:8" x14ac:dyDescent="0.3">
      <c r="A31" s="5" t="s">
        <v>11</v>
      </c>
      <c r="B31" s="5">
        <v>0.84446940000000004</v>
      </c>
      <c r="C31" s="5">
        <v>1.6155008000000002</v>
      </c>
      <c r="D31" s="6">
        <f t="shared" si="5"/>
        <v>0.91303651736818425</v>
      </c>
      <c r="E31" s="5">
        <v>0.84240090000000001</v>
      </c>
      <c r="F31" s="6">
        <f t="shared" si="6"/>
        <v>-0.47855123315321174</v>
      </c>
      <c r="G31" s="7"/>
      <c r="H31" s="5">
        <f t="shared" si="7"/>
        <v>0.84240090000000001</v>
      </c>
    </row>
    <row r="32" spans="1:8" x14ac:dyDescent="0.3">
      <c r="A32" s="5" t="s">
        <v>23</v>
      </c>
      <c r="B32" s="5">
        <v>1.7074100000000001</v>
      </c>
      <c r="C32" s="5">
        <v>1.6021825000000001</v>
      </c>
      <c r="D32" s="6">
        <f t="shared" si="5"/>
        <v>-6.1629895572826693E-2</v>
      </c>
      <c r="E32" s="5">
        <v>0.66384179999999993</v>
      </c>
      <c r="F32" s="6">
        <f t="shared" si="6"/>
        <v>-0.58566405512480635</v>
      </c>
      <c r="G32" s="7"/>
      <c r="H32" s="5">
        <f t="shared" si="7"/>
        <v>0.66384179999999993</v>
      </c>
    </row>
    <row r="33" spans="1:8" x14ac:dyDescent="0.3">
      <c r="A33" s="5" t="s">
        <v>5</v>
      </c>
      <c r="B33" s="5">
        <v>0.64503030000000006</v>
      </c>
      <c r="C33" s="5">
        <v>0.62878500000000004</v>
      </c>
      <c r="D33" s="6">
        <f t="shared" si="5"/>
        <v>-2.5185328503172667E-2</v>
      </c>
      <c r="E33" s="5">
        <v>0.63963389999999998</v>
      </c>
      <c r="F33" s="6">
        <f t="shared" si="6"/>
        <v>1.7253751282234688E-2</v>
      </c>
      <c r="G33" s="7"/>
      <c r="H33" s="5">
        <f t="shared" si="7"/>
        <v>0.63963389999999998</v>
      </c>
    </row>
    <row r="34" spans="1:8" x14ac:dyDescent="0.3">
      <c r="A34" s="15" t="s">
        <v>1</v>
      </c>
      <c r="B34" s="15">
        <v>17.979851</v>
      </c>
      <c r="C34" s="15">
        <v>31.931583100000001</v>
      </c>
      <c r="D34" s="16">
        <f t="shared" si="5"/>
        <v>0.7759648341913401</v>
      </c>
      <c r="E34" s="15">
        <v>25.017495300000004</v>
      </c>
      <c r="F34" s="16">
        <f t="shared" si="6"/>
        <v>-0.21652818710388327</v>
      </c>
      <c r="G34" s="17"/>
      <c r="H34" s="15">
        <f t="shared" si="7"/>
        <v>25.017495300000004</v>
      </c>
    </row>
    <row r="36" spans="1:8" x14ac:dyDescent="0.3">
      <c r="A36" s="10" t="s">
        <v>39</v>
      </c>
    </row>
    <row r="37" spans="1:8" x14ac:dyDescent="0.3">
      <c r="A37" s="4" t="s">
        <v>0</v>
      </c>
      <c r="B37" s="4" t="s">
        <v>41</v>
      </c>
      <c r="C37" s="4" t="s">
        <v>42</v>
      </c>
      <c r="D37" s="4" t="s">
        <v>33</v>
      </c>
      <c r="E37" s="4" t="s">
        <v>44</v>
      </c>
      <c r="F37" s="4" t="s">
        <v>34</v>
      </c>
      <c r="G37" s="4" t="s">
        <v>31</v>
      </c>
      <c r="H37" s="4" t="s">
        <v>32</v>
      </c>
    </row>
    <row r="38" spans="1:8" x14ac:dyDescent="0.3">
      <c r="A38" s="5" t="s">
        <v>26</v>
      </c>
      <c r="B38" s="5">
        <v>48.909253800000009</v>
      </c>
      <c r="C38" s="5">
        <v>72.574874799999989</v>
      </c>
      <c r="D38" s="6">
        <f t="shared" ref="D38:D40" si="8">(C38-B38)/B38</f>
        <v>0.4838679628352861</v>
      </c>
      <c r="E38" s="5">
        <v>116.84349350000001</v>
      </c>
      <c r="F38" s="6">
        <f t="shared" ref="F38:F40" si="9">(E38-C38)/C38</f>
        <v>0.60997168540757885</v>
      </c>
      <c r="G38" s="7"/>
      <c r="H38" s="5">
        <f>G38+E38</f>
        <v>116.84349350000001</v>
      </c>
    </row>
    <row r="39" spans="1:8" x14ac:dyDescent="0.3">
      <c r="A39" s="5" t="s">
        <v>19</v>
      </c>
      <c r="B39" s="5">
        <v>8.6412061999999992</v>
      </c>
      <c r="C39" s="5">
        <v>7.0543252000000001</v>
      </c>
      <c r="D39" s="6">
        <f t="shared" si="8"/>
        <v>-0.18364114491331074</v>
      </c>
      <c r="E39" s="5">
        <v>2.2298364999999989</v>
      </c>
      <c r="F39" s="6">
        <f t="shared" si="9"/>
        <v>-0.68390506011829477</v>
      </c>
      <c r="G39" s="7"/>
      <c r="H39" s="5">
        <f>G39+E39</f>
        <v>2.2298364999999989</v>
      </c>
    </row>
    <row r="40" spans="1:8" x14ac:dyDescent="0.3">
      <c r="A40" s="15" t="s">
        <v>1</v>
      </c>
      <c r="B40" s="15">
        <v>57.550460000000008</v>
      </c>
      <c r="C40" s="15">
        <v>79.629199999999997</v>
      </c>
      <c r="D40" s="16">
        <f t="shared" si="8"/>
        <v>0.38364141659336842</v>
      </c>
      <c r="E40" s="15">
        <v>119.07333000000001</v>
      </c>
      <c r="F40" s="16">
        <f t="shared" si="9"/>
        <v>0.49534756094498017</v>
      </c>
      <c r="G40" s="17"/>
      <c r="H40" s="15">
        <f>G40+E40</f>
        <v>119.07333000000001</v>
      </c>
    </row>
    <row r="41" spans="1:8" x14ac:dyDescent="0.3">
      <c r="A41" s="1"/>
      <c r="B41" s="1"/>
      <c r="C41" s="1"/>
      <c r="D41" s="1"/>
      <c r="E41" s="1"/>
    </row>
    <row r="42" spans="1:8" x14ac:dyDescent="0.3">
      <c r="A42" s="12" t="s">
        <v>40</v>
      </c>
      <c r="B42" s="1"/>
      <c r="C42" s="1"/>
      <c r="D42" s="1"/>
      <c r="E42" s="1"/>
    </row>
    <row r="43" spans="1:8" x14ac:dyDescent="0.3">
      <c r="A43" s="4" t="s">
        <v>0</v>
      </c>
      <c r="B43" s="4" t="s">
        <v>41</v>
      </c>
      <c r="C43" s="4" t="s">
        <v>42</v>
      </c>
      <c r="D43" s="4" t="s">
        <v>33</v>
      </c>
      <c r="E43" s="4" t="s">
        <v>44</v>
      </c>
      <c r="F43" s="4" t="s">
        <v>34</v>
      </c>
      <c r="G43" s="4" t="s">
        <v>31</v>
      </c>
      <c r="H43" s="4" t="s">
        <v>32</v>
      </c>
    </row>
    <row r="44" spans="1:8" x14ac:dyDescent="0.3">
      <c r="A44" s="5" t="s">
        <v>28</v>
      </c>
      <c r="B44" s="5">
        <v>0.16800000000000001</v>
      </c>
      <c r="C44" s="5">
        <v>0.5</v>
      </c>
      <c r="D44" s="6">
        <f t="shared" ref="D44:D45" si="10">(C44-B44)/B44</f>
        <v>1.9761904761904758</v>
      </c>
      <c r="E44" s="5">
        <v>0</v>
      </c>
      <c r="F44" s="6">
        <f t="shared" ref="F44:F45" si="11">(E44-C44)/C44</f>
        <v>-1</v>
      </c>
      <c r="G44" s="7"/>
      <c r="H44" s="5">
        <f>G44+E44</f>
        <v>0</v>
      </c>
    </row>
    <row r="45" spans="1:8" x14ac:dyDescent="0.3">
      <c r="A45" s="15" t="s">
        <v>1</v>
      </c>
      <c r="B45" s="15">
        <v>0.16800000000000001</v>
      </c>
      <c r="C45" s="15">
        <v>0.5</v>
      </c>
      <c r="D45" s="16">
        <f t="shared" si="10"/>
        <v>1.9761904761904758</v>
      </c>
      <c r="E45" s="15">
        <v>0</v>
      </c>
      <c r="F45" s="16">
        <f t="shared" si="11"/>
        <v>-1</v>
      </c>
      <c r="G45" s="17"/>
      <c r="H45" s="15">
        <f>G45+E45</f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AF53-7E5C-4599-A442-30022D44446F}">
  <dimension ref="A1:J47"/>
  <sheetViews>
    <sheetView workbookViewId="0">
      <selection activeCell="I8" sqref="I8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193.37399930000001</v>
      </c>
      <c r="C2" s="5">
        <v>116.7470648</v>
      </c>
      <c r="D2" s="6">
        <f>(C2-B2)/B2</f>
        <v>-0.39626286252228327</v>
      </c>
      <c r="E2" s="5">
        <v>117.41992140000001</v>
      </c>
      <c r="F2" s="6">
        <f>(E2-C2)/C2</f>
        <v>5.7633705922515224E-3</v>
      </c>
      <c r="G2" s="7"/>
      <c r="H2" s="5">
        <f>G2+E2</f>
        <v>117.41992140000001</v>
      </c>
      <c r="J2">
        <v>100000</v>
      </c>
    </row>
    <row r="3" spans="1:10" x14ac:dyDescent="0.3">
      <c r="A3" s="5" t="s">
        <v>10</v>
      </c>
      <c r="B3" s="5">
        <v>9.694500699999999</v>
      </c>
      <c r="C3" s="5">
        <v>24.2046952</v>
      </c>
      <c r="D3" s="6">
        <f t="shared" ref="D3:D6" si="0">(C3-B3)/B3</f>
        <v>1.4967449019834516</v>
      </c>
      <c r="E3" s="5">
        <v>23.711359599999998</v>
      </c>
      <c r="F3" s="6">
        <f t="shared" ref="F3:F6" si="1">(E3-C3)/C3</f>
        <v>-2.0381814186199783E-2</v>
      </c>
      <c r="G3" s="7"/>
      <c r="H3" s="5">
        <f>G3+E3</f>
        <v>23.711359599999998</v>
      </c>
    </row>
    <row r="4" spans="1:10" x14ac:dyDescent="0.3">
      <c r="A4" s="5" t="s">
        <v>25</v>
      </c>
      <c r="B4" s="5">
        <v>11.041840000000001</v>
      </c>
      <c r="C4" s="5">
        <v>17.138000000000002</v>
      </c>
      <c r="D4" s="6">
        <f t="shared" si="0"/>
        <v>0.55209638973214614</v>
      </c>
      <c r="E4" s="5">
        <v>15.643755000000001</v>
      </c>
      <c r="F4" s="6">
        <f t="shared" si="1"/>
        <v>-8.7188995215311066E-2</v>
      </c>
      <c r="G4" s="7"/>
      <c r="H4" s="5">
        <f>G4+E4</f>
        <v>15.643755000000001</v>
      </c>
    </row>
    <row r="5" spans="1:10" x14ac:dyDescent="0.3">
      <c r="A5" s="5" t="s">
        <v>2</v>
      </c>
      <c r="B5" s="5">
        <v>22.305830000000011</v>
      </c>
      <c r="C5" s="5">
        <v>63.913150000000037</v>
      </c>
      <c r="D5" s="6">
        <f t="shared" si="0"/>
        <v>1.865311445483087</v>
      </c>
      <c r="E5" s="5">
        <v>9.5271240000000041</v>
      </c>
      <c r="F5" s="6">
        <f t="shared" si="1"/>
        <v>-0.85093640354136824</v>
      </c>
      <c r="G5" s="7"/>
      <c r="H5" s="5">
        <f>G5+E5</f>
        <v>9.5271240000000041</v>
      </c>
    </row>
    <row r="6" spans="1:10" x14ac:dyDescent="0.3">
      <c r="A6" s="15" t="s">
        <v>1</v>
      </c>
      <c r="B6" s="15">
        <v>236.41616999999999</v>
      </c>
      <c r="C6" s="15">
        <v>222.00291000000004</v>
      </c>
      <c r="D6" s="16">
        <f t="shared" si="0"/>
        <v>-6.0965626843544382E-2</v>
      </c>
      <c r="E6" s="15">
        <v>166.30215999999999</v>
      </c>
      <c r="F6" s="16">
        <f t="shared" si="1"/>
        <v>-0.25090099044197234</v>
      </c>
      <c r="G6" s="17"/>
      <c r="H6" s="15">
        <f>G6+E6</f>
        <v>166.30215999999999</v>
      </c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12</v>
      </c>
      <c r="B10" s="5">
        <v>2.2059000000000002</v>
      </c>
      <c r="C10" s="5">
        <v>3.8657699999999999</v>
      </c>
      <c r="D10" s="6">
        <f t="shared" ref="D10:D11" si="2">(C10-B10)/B10</f>
        <v>0.75246838025295781</v>
      </c>
      <c r="E10" s="5">
        <v>4.2396380000000002</v>
      </c>
      <c r="F10" s="6">
        <f t="shared" ref="F10:F17" si="3">(E10-C10)/C10</f>
        <v>9.6712427278394811E-2</v>
      </c>
      <c r="G10" s="7"/>
      <c r="H10" s="5">
        <f t="shared" ref="H10:H23" si="4">G10+E10</f>
        <v>4.2396380000000002</v>
      </c>
    </row>
    <row r="11" spans="1:10" x14ac:dyDescent="0.3">
      <c r="A11" s="5" t="s">
        <v>4</v>
      </c>
      <c r="B11" s="5">
        <v>6.7062999999999997</v>
      </c>
      <c r="C11" s="5">
        <v>15.8801451</v>
      </c>
      <c r="D11" s="6">
        <f t="shared" si="2"/>
        <v>1.3679443359229384</v>
      </c>
      <c r="E11" s="5">
        <v>2.2261467000000001</v>
      </c>
      <c r="F11" s="6">
        <f t="shared" si="3"/>
        <v>-0.85981572044955679</v>
      </c>
      <c r="G11" s="7"/>
      <c r="H11" s="5">
        <f t="shared" si="4"/>
        <v>2.2261467000000001</v>
      </c>
    </row>
    <row r="12" spans="1:10" x14ac:dyDescent="0.3">
      <c r="A12" s="5" t="s">
        <v>5</v>
      </c>
      <c r="B12" s="5">
        <v>0</v>
      </c>
      <c r="C12" s="5">
        <v>0.32129999999999997</v>
      </c>
      <c r="D12" s="5"/>
      <c r="E12" s="5">
        <v>2.2009192</v>
      </c>
      <c r="F12" s="6">
        <f t="shared" si="3"/>
        <v>5.8500441954559603</v>
      </c>
      <c r="G12" s="7"/>
      <c r="H12" s="5">
        <f t="shared" si="4"/>
        <v>2.2009192</v>
      </c>
    </row>
    <row r="13" spans="1:10" x14ac:dyDescent="0.3">
      <c r="A13" s="5" t="s">
        <v>3</v>
      </c>
      <c r="B13" s="5">
        <v>0.76275000000000004</v>
      </c>
      <c r="C13" s="5">
        <v>2.0213986999999998</v>
      </c>
      <c r="D13" s="6">
        <f>(C13-B13)/B13</f>
        <v>1.6501457882661419</v>
      </c>
      <c r="E13" s="5">
        <v>1.0371633</v>
      </c>
      <c r="F13" s="6">
        <f t="shared" si="3"/>
        <v>-0.48690809982216765</v>
      </c>
      <c r="G13" s="7"/>
      <c r="H13" s="5">
        <f t="shared" si="4"/>
        <v>1.0371633</v>
      </c>
    </row>
    <row r="14" spans="1:10" x14ac:dyDescent="0.3">
      <c r="A14" s="5" t="s">
        <v>16</v>
      </c>
      <c r="B14" s="5">
        <v>0.64548000000000005</v>
      </c>
      <c r="C14" s="5">
        <v>0.4158</v>
      </c>
      <c r="D14" s="6">
        <f t="shared" ref="D14:D23" si="5">(C14-B14)/B14</f>
        <v>-0.35582822085889576</v>
      </c>
      <c r="E14" s="5">
        <v>0.84150000000000003</v>
      </c>
      <c r="F14" s="6">
        <f t="shared" si="3"/>
        <v>1.0238095238095239</v>
      </c>
      <c r="G14" s="7"/>
      <c r="H14" s="5">
        <f t="shared" si="4"/>
        <v>0.84150000000000003</v>
      </c>
    </row>
    <row r="15" spans="1:10" x14ac:dyDescent="0.3">
      <c r="A15" s="5" t="s">
        <v>8</v>
      </c>
      <c r="B15" s="5">
        <v>2.2364858999999995</v>
      </c>
      <c r="C15" s="5">
        <v>20.348337400000002</v>
      </c>
      <c r="D15" s="6">
        <f t="shared" si="5"/>
        <v>8.0983526433142323</v>
      </c>
      <c r="E15" s="5">
        <v>0.72413939999999999</v>
      </c>
      <c r="F15" s="6">
        <f t="shared" si="3"/>
        <v>-0.9644128468205958</v>
      </c>
      <c r="G15" s="7"/>
      <c r="H15" s="5">
        <f t="shared" si="4"/>
        <v>0.72413939999999999</v>
      </c>
    </row>
    <row r="16" spans="1:10" x14ac:dyDescent="0.3">
      <c r="A16" s="5" t="s">
        <v>6</v>
      </c>
      <c r="B16" s="5">
        <v>1.2282195999999999</v>
      </c>
      <c r="C16" s="5">
        <v>2.5143742000000002</v>
      </c>
      <c r="D16" s="6">
        <f t="shared" si="5"/>
        <v>1.0471699034928286</v>
      </c>
      <c r="E16" s="5">
        <v>0.6431386</v>
      </c>
      <c r="F16" s="6">
        <f t="shared" si="3"/>
        <v>-0.74421524051591059</v>
      </c>
      <c r="G16" s="7"/>
      <c r="H16" s="5">
        <f t="shared" si="4"/>
        <v>0.6431386</v>
      </c>
    </row>
    <row r="17" spans="1:8" x14ac:dyDescent="0.3">
      <c r="A17" s="5" t="s">
        <v>20</v>
      </c>
      <c r="B17" s="5">
        <v>0.52434000000000003</v>
      </c>
      <c r="C17" s="5">
        <v>2.4077700000000002</v>
      </c>
      <c r="D17" s="6">
        <f t="shared" si="5"/>
        <v>3.5920013731548233</v>
      </c>
      <c r="E17" s="5">
        <v>0.55872520000000014</v>
      </c>
      <c r="F17" s="6">
        <f t="shared" si="3"/>
        <v>-0.76794909812814349</v>
      </c>
      <c r="G17" s="7"/>
      <c r="H17" s="5">
        <f t="shared" si="4"/>
        <v>0.55872520000000014</v>
      </c>
    </row>
    <row r="18" spans="1:8" x14ac:dyDescent="0.3">
      <c r="A18" s="5" t="s">
        <v>21</v>
      </c>
      <c r="B18" s="5">
        <v>0.20456959999999999</v>
      </c>
      <c r="C18" s="5">
        <v>0.75680999999999998</v>
      </c>
      <c r="D18" s="6">
        <f t="shared" si="5"/>
        <v>2.699523291828307</v>
      </c>
      <c r="E18" s="5">
        <v>0.13010330000000001</v>
      </c>
      <c r="F18" s="7"/>
      <c r="G18" s="7"/>
      <c r="H18" s="5">
        <f t="shared" si="4"/>
        <v>0.13010330000000001</v>
      </c>
    </row>
    <row r="19" spans="1:8" x14ac:dyDescent="0.3">
      <c r="A19" s="5" t="s">
        <v>13</v>
      </c>
      <c r="B19" s="5">
        <v>3.6450000000000003E-2</v>
      </c>
      <c r="C19" s="5">
        <v>0.55079999999999996</v>
      </c>
      <c r="D19" s="6">
        <f t="shared" si="5"/>
        <v>14.111111111111109</v>
      </c>
      <c r="E19" s="5">
        <v>3.3535200000000001E-2</v>
      </c>
      <c r="F19" s="7"/>
      <c r="G19" s="7"/>
      <c r="H19" s="5">
        <f t="shared" si="4"/>
        <v>3.3535200000000001E-2</v>
      </c>
    </row>
    <row r="20" spans="1:8" x14ac:dyDescent="0.3">
      <c r="A20" s="5" t="s">
        <v>7</v>
      </c>
      <c r="B20" s="5">
        <v>0.90399539999999989</v>
      </c>
      <c r="C20" s="5">
        <v>2.6318680000000003</v>
      </c>
      <c r="D20" s="6">
        <f t="shared" si="5"/>
        <v>1.9113732215894026</v>
      </c>
      <c r="E20" s="5">
        <v>2.2856699999999983E-2</v>
      </c>
      <c r="F20" s="7"/>
      <c r="G20" s="7"/>
      <c r="H20" s="5">
        <f t="shared" si="4"/>
        <v>2.2856699999999983E-2</v>
      </c>
    </row>
    <row r="21" spans="1:8" x14ac:dyDescent="0.3">
      <c r="A21" s="5" t="s">
        <v>9</v>
      </c>
      <c r="B21" s="5">
        <v>1.7402395000000002</v>
      </c>
      <c r="C21" s="5">
        <v>4.3309765999999996</v>
      </c>
      <c r="D21" s="6">
        <f t="shared" si="5"/>
        <v>1.4887244543064326</v>
      </c>
      <c r="E21" s="5">
        <v>-0.32814100000000007</v>
      </c>
      <c r="F21" s="7"/>
      <c r="G21" s="7"/>
      <c r="H21" s="5">
        <f t="shared" si="4"/>
        <v>-0.32814100000000007</v>
      </c>
    </row>
    <row r="22" spans="1:8" x14ac:dyDescent="0.3">
      <c r="A22" s="5" t="s">
        <v>17</v>
      </c>
      <c r="B22" s="5">
        <v>5.1111000000000004</v>
      </c>
      <c r="C22" s="5">
        <v>7.8677999999999999</v>
      </c>
      <c r="D22" s="6">
        <f t="shared" si="5"/>
        <v>0.53935552033808754</v>
      </c>
      <c r="E22" s="5">
        <v>-2.8026005999999999</v>
      </c>
      <c r="F22" s="6">
        <f t="shared" ref="F22:F23" si="6">(E22-C22)/C22</f>
        <v>-1.3562114695340504</v>
      </c>
      <c r="G22" s="7"/>
      <c r="H22" s="5">
        <f t="shared" si="4"/>
        <v>-2.8026005999999999</v>
      </c>
    </row>
    <row r="23" spans="1:8" x14ac:dyDescent="0.3">
      <c r="A23" s="15" t="s">
        <v>1</v>
      </c>
      <c r="B23" s="15">
        <v>22.30583</v>
      </c>
      <c r="C23" s="15">
        <v>63.913150000000002</v>
      </c>
      <c r="D23" s="16">
        <f t="shared" si="5"/>
        <v>1.8653114454830868</v>
      </c>
      <c r="E23" s="15">
        <v>9.5271239999999988</v>
      </c>
      <c r="F23" s="16">
        <f t="shared" si="6"/>
        <v>-0.85093640354136824</v>
      </c>
      <c r="G23" s="17"/>
      <c r="H23" s="15">
        <f t="shared" si="4"/>
        <v>9.5271239999999988</v>
      </c>
    </row>
    <row r="24" spans="1:8" x14ac:dyDescent="0.3">
      <c r="A24" s="1"/>
      <c r="B24" s="1"/>
      <c r="C24" s="1"/>
      <c r="D24" s="1"/>
      <c r="E24" s="1"/>
    </row>
    <row r="25" spans="1:8" x14ac:dyDescent="0.3">
      <c r="A25" s="10" t="s">
        <v>38</v>
      </c>
    </row>
    <row r="26" spans="1:8" x14ac:dyDescent="0.3">
      <c r="A26" s="4" t="s">
        <v>0</v>
      </c>
      <c r="B26" s="4" t="s">
        <v>41</v>
      </c>
      <c r="C26" s="4" t="s">
        <v>42</v>
      </c>
      <c r="D26" s="4" t="s">
        <v>33</v>
      </c>
      <c r="E26" s="4" t="s">
        <v>44</v>
      </c>
      <c r="F26" s="4" t="s">
        <v>34</v>
      </c>
      <c r="G26" s="4" t="s">
        <v>31</v>
      </c>
      <c r="H26" s="4" t="s">
        <v>32</v>
      </c>
    </row>
    <row r="27" spans="1:8" x14ac:dyDescent="0.3">
      <c r="A27" s="5" t="s">
        <v>14</v>
      </c>
      <c r="B27" s="5">
        <v>7.5747406999999995</v>
      </c>
      <c r="C27" s="5">
        <v>18.539549999999998</v>
      </c>
      <c r="D27" s="6">
        <f t="shared" ref="D27:D28" si="7">(C27-B27)/B27</f>
        <v>1.4475491286454201</v>
      </c>
      <c r="E27" s="5">
        <v>21.478503</v>
      </c>
      <c r="F27" s="6">
        <f t="shared" ref="F27:F28" si="8">(E27-C27)/C27</f>
        <v>0.15852342694401977</v>
      </c>
      <c r="G27" s="7"/>
      <c r="H27" s="5">
        <f t="shared" ref="H27:H33" si="9">G27+E27</f>
        <v>21.478503</v>
      </c>
    </row>
    <row r="28" spans="1:8" x14ac:dyDescent="0.3">
      <c r="A28" s="5" t="s">
        <v>11</v>
      </c>
      <c r="B28" s="5">
        <v>0.45900000000000002</v>
      </c>
      <c r="C28" s="5">
        <v>2.0735999999999999</v>
      </c>
      <c r="D28" s="6">
        <f t="shared" si="7"/>
        <v>3.5176470588235289</v>
      </c>
      <c r="E28" s="5">
        <v>1.5228008000000002</v>
      </c>
      <c r="F28" s="6">
        <f t="shared" si="8"/>
        <v>-0.26562461419753075</v>
      </c>
      <c r="G28" s="7"/>
      <c r="H28" s="5">
        <f t="shared" si="9"/>
        <v>1.5228008000000002</v>
      </c>
    </row>
    <row r="29" spans="1:8" x14ac:dyDescent="0.3">
      <c r="A29" s="5" t="s">
        <v>22</v>
      </c>
      <c r="B29" s="5">
        <v>0</v>
      </c>
      <c r="C29" s="5">
        <v>0.38655519999999999</v>
      </c>
      <c r="D29" s="5"/>
      <c r="E29" s="5">
        <v>0.39150000000000001</v>
      </c>
      <c r="F29" s="7"/>
      <c r="G29" s="7"/>
      <c r="H29" s="5">
        <f t="shared" si="9"/>
        <v>0.39150000000000001</v>
      </c>
    </row>
    <row r="30" spans="1:8" x14ac:dyDescent="0.3">
      <c r="A30" s="5" t="s">
        <v>4</v>
      </c>
      <c r="B30" s="5">
        <v>0</v>
      </c>
      <c r="C30" s="5">
        <v>0.21734999999999999</v>
      </c>
      <c r="D30" s="5"/>
      <c r="E30" s="5">
        <v>0.3111758</v>
      </c>
      <c r="F30" s="7"/>
      <c r="G30" s="7"/>
      <c r="H30" s="5">
        <f t="shared" si="9"/>
        <v>0.3111758</v>
      </c>
    </row>
    <row r="31" spans="1:8" x14ac:dyDescent="0.3">
      <c r="A31" s="5" t="s">
        <v>8</v>
      </c>
      <c r="B31" s="5">
        <v>1.18736</v>
      </c>
      <c r="C31" s="5">
        <v>2.4692400000000001</v>
      </c>
      <c r="D31" s="6">
        <f t="shared" ref="D31:D33" si="10">(C31-B31)/B31</f>
        <v>1.0796051745047839</v>
      </c>
      <c r="E31" s="5">
        <v>7.3800000000000003E-3</v>
      </c>
      <c r="F31" s="6">
        <f>(E31-C31)/C31</f>
        <v>-0.99701122612625748</v>
      </c>
      <c r="G31" s="7"/>
      <c r="H31" s="5">
        <f t="shared" si="9"/>
        <v>7.3800000000000003E-3</v>
      </c>
    </row>
    <row r="32" spans="1:8" x14ac:dyDescent="0.3">
      <c r="A32" s="5" t="s">
        <v>23</v>
      </c>
      <c r="B32" s="5">
        <v>0.47339999999999999</v>
      </c>
      <c r="C32" s="5">
        <v>0.51839999999999997</v>
      </c>
      <c r="D32" s="6">
        <f t="shared" si="10"/>
        <v>9.5057034220532285E-2</v>
      </c>
      <c r="E32" s="5">
        <v>0</v>
      </c>
      <c r="F32" s="6">
        <f t="shared" ref="F32:F33" si="11">(E32-C32)/C32</f>
        <v>-1</v>
      </c>
      <c r="G32" s="7"/>
      <c r="H32" s="5">
        <f t="shared" si="9"/>
        <v>0</v>
      </c>
    </row>
    <row r="33" spans="1:8" x14ac:dyDescent="0.3">
      <c r="A33" s="15" t="s">
        <v>1</v>
      </c>
      <c r="B33" s="15">
        <v>9.694500699999999</v>
      </c>
      <c r="C33" s="15">
        <v>24.2046952</v>
      </c>
      <c r="D33" s="16">
        <f t="shared" si="10"/>
        <v>1.4967449019834516</v>
      </c>
      <c r="E33" s="15">
        <v>23.711359599999998</v>
      </c>
      <c r="F33" s="16">
        <f t="shared" si="11"/>
        <v>-2.0381814186199783E-2</v>
      </c>
      <c r="G33" s="17"/>
      <c r="H33" s="15">
        <f t="shared" si="9"/>
        <v>23.711359599999998</v>
      </c>
    </row>
    <row r="34" spans="1:8" x14ac:dyDescent="0.3">
      <c r="A34" s="1"/>
      <c r="B34" s="1"/>
      <c r="C34" s="1"/>
      <c r="D34" s="3"/>
      <c r="E34" s="1"/>
      <c r="F34" s="3"/>
      <c r="H34" s="14"/>
    </row>
    <row r="35" spans="1:8" x14ac:dyDescent="0.3">
      <c r="A35" s="10" t="s">
        <v>39</v>
      </c>
    </row>
    <row r="36" spans="1:8" x14ac:dyDescent="0.3">
      <c r="A36" s="4" t="s">
        <v>0</v>
      </c>
      <c r="B36" s="4" t="s">
        <v>41</v>
      </c>
      <c r="C36" s="4" t="s">
        <v>42</v>
      </c>
      <c r="D36" s="4" t="s">
        <v>33</v>
      </c>
      <c r="E36" s="4" t="s">
        <v>44</v>
      </c>
      <c r="F36" s="4" t="s">
        <v>34</v>
      </c>
      <c r="G36" s="4" t="s">
        <v>31</v>
      </c>
      <c r="H36" s="4" t="s">
        <v>32</v>
      </c>
    </row>
    <row r="37" spans="1:8" x14ac:dyDescent="0.3">
      <c r="A37" s="5" t="s">
        <v>19</v>
      </c>
      <c r="B37" s="5">
        <v>13.409243500000001</v>
      </c>
      <c r="C37" s="5">
        <v>32.822404800000001</v>
      </c>
      <c r="D37" s="6">
        <f t="shared" ref="D37:D39" si="12">(C37-B37)/B37</f>
        <v>1.4477447068509122</v>
      </c>
      <c r="E37" s="5">
        <v>53.046099099999999</v>
      </c>
      <c r="F37" s="6">
        <f t="shared" ref="F37:F41" si="13">(E37-C37)/C37</f>
        <v>0.61615516666834835</v>
      </c>
      <c r="G37" s="7"/>
      <c r="H37" s="5">
        <f>G37+E37</f>
        <v>53.046099099999999</v>
      </c>
    </row>
    <row r="38" spans="1:8" x14ac:dyDescent="0.3">
      <c r="A38" s="5" t="s">
        <v>27</v>
      </c>
      <c r="B38" s="5">
        <v>25.315855800000001</v>
      </c>
      <c r="C38" s="5">
        <v>19.625780000000002</v>
      </c>
      <c r="D38" s="6">
        <f t="shared" si="12"/>
        <v>-0.22476332006915598</v>
      </c>
      <c r="E38" s="5">
        <v>27.848593599999997</v>
      </c>
      <c r="F38" s="6">
        <f t="shared" si="13"/>
        <v>0.4189802188753769</v>
      </c>
      <c r="G38" s="7"/>
      <c r="H38" s="5">
        <f>G38+E38</f>
        <v>27.848593599999997</v>
      </c>
    </row>
    <row r="39" spans="1:8" x14ac:dyDescent="0.3">
      <c r="A39" s="5" t="s">
        <v>15</v>
      </c>
      <c r="B39" s="5">
        <v>154.6489</v>
      </c>
      <c r="C39" s="5">
        <v>64.298879999999997</v>
      </c>
      <c r="D39" s="6">
        <f t="shared" si="12"/>
        <v>-0.58422672259550501</v>
      </c>
      <c r="E39" s="5">
        <v>23.873257500000001</v>
      </c>
      <c r="F39" s="6">
        <f t="shared" si="13"/>
        <v>-0.62871425598704045</v>
      </c>
      <c r="G39" s="7"/>
      <c r="H39" s="5">
        <f>G39+E39</f>
        <v>23.873257500000001</v>
      </c>
    </row>
    <row r="40" spans="1:8" x14ac:dyDescent="0.3">
      <c r="A40" s="5" t="s">
        <v>30</v>
      </c>
      <c r="B40" s="5">
        <v>0</v>
      </c>
      <c r="C40" s="5">
        <v>0</v>
      </c>
      <c r="D40" s="5"/>
      <c r="E40" s="5">
        <v>12.651971200000002</v>
      </c>
      <c r="F40" s="6" t="e">
        <f t="shared" si="13"/>
        <v>#DIV/0!</v>
      </c>
      <c r="G40" s="7"/>
      <c r="H40" s="5">
        <f>G40+E40</f>
        <v>12.651971200000002</v>
      </c>
    </row>
    <row r="41" spans="1:8" x14ac:dyDescent="0.3">
      <c r="A41" s="15" t="s">
        <v>1</v>
      </c>
      <c r="B41" s="15">
        <v>193.37399930000001</v>
      </c>
      <c r="C41" s="15">
        <v>116.7470648</v>
      </c>
      <c r="D41" s="16">
        <f>(C41-B41)/B41</f>
        <v>-0.39626286252228327</v>
      </c>
      <c r="E41" s="15">
        <v>117.41992140000001</v>
      </c>
      <c r="F41" s="16">
        <f t="shared" si="13"/>
        <v>5.7633705922515224E-3</v>
      </c>
      <c r="G41" s="17"/>
      <c r="H41" s="15">
        <f>G41+E41</f>
        <v>117.41992140000001</v>
      </c>
    </row>
    <row r="43" spans="1:8" x14ac:dyDescent="0.3">
      <c r="A43" s="12" t="s">
        <v>40</v>
      </c>
    </row>
    <row r="44" spans="1:8" x14ac:dyDescent="0.3">
      <c r="A44" s="4" t="s">
        <v>0</v>
      </c>
      <c r="B44" s="4" t="s">
        <v>41</v>
      </c>
      <c r="C44" s="4" t="s">
        <v>42</v>
      </c>
      <c r="D44" s="4" t="s">
        <v>33</v>
      </c>
      <c r="E44" s="4" t="s">
        <v>44</v>
      </c>
      <c r="F44" s="4" t="s">
        <v>34</v>
      </c>
      <c r="G44" s="4" t="s">
        <v>31</v>
      </c>
      <c r="H44" s="4" t="s">
        <v>32</v>
      </c>
    </row>
    <row r="45" spans="1:8" x14ac:dyDescent="0.3">
      <c r="A45" s="5" t="s">
        <v>28</v>
      </c>
      <c r="B45" s="5">
        <v>11.041840000000001</v>
      </c>
      <c r="C45" s="5">
        <v>17.138000000000002</v>
      </c>
      <c r="D45" s="6">
        <f t="shared" ref="D45:D46" si="14">(C45-B45)/B45</f>
        <v>0.55209638973214614</v>
      </c>
      <c r="E45" s="5">
        <v>15.643755000000001</v>
      </c>
      <c r="F45" s="6">
        <f t="shared" ref="F45:F46" si="15">(E45-C45)/C45</f>
        <v>-8.7188995215311066E-2</v>
      </c>
      <c r="G45" s="7"/>
      <c r="H45" s="5">
        <f>G45+E45</f>
        <v>15.643755000000001</v>
      </c>
    </row>
    <row r="46" spans="1:8" x14ac:dyDescent="0.3">
      <c r="A46" s="15" t="s">
        <v>1</v>
      </c>
      <c r="B46" s="15">
        <v>11.041840000000001</v>
      </c>
      <c r="C46" s="15">
        <v>17.138000000000002</v>
      </c>
      <c r="D46" s="16">
        <f t="shared" si="14"/>
        <v>0.55209638973214614</v>
      </c>
      <c r="E46" s="15">
        <v>15.643755000000001</v>
      </c>
      <c r="F46" s="16">
        <f t="shared" si="15"/>
        <v>-8.7188995215311066E-2</v>
      </c>
      <c r="G46" s="17"/>
      <c r="H46" s="15">
        <f>G46+E46</f>
        <v>15.643755000000001</v>
      </c>
    </row>
    <row r="47" spans="1:8" x14ac:dyDescent="0.3">
      <c r="A47" s="1"/>
      <c r="B47" s="1"/>
      <c r="C47" s="1"/>
      <c r="D47" s="1"/>
      <c r="E47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7F38-6A42-4323-A8FC-5826D239E0AC}">
  <dimension ref="A1:J49"/>
  <sheetViews>
    <sheetView workbookViewId="0">
      <selection activeCell="G11" sqref="G11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2</v>
      </c>
      <c r="B2" s="5">
        <v>318.87251089999995</v>
      </c>
      <c r="C2" s="5">
        <v>428.3198999999999</v>
      </c>
      <c r="D2" s="6">
        <f>(C2-B2)/B2</f>
        <v>0.34323243728689806</v>
      </c>
      <c r="E2" s="5">
        <v>310.01591189999999</v>
      </c>
      <c r="F2" s="6">
        <f>(E2-C2)/C2</f>
        <v>-0.27620474346393886</v>
      </c>
      <c r="G2" s="7"/>
      <c r="H2" s="5">
        <f>G2+E2</f>
        <v>310.01591189999999</v>
      </c>
      <c r="J2">
        <v>100000</v>
      </c>
    </row>
    <row r="3" spans="1:10" x14ac:dyDescent="0.3">
      <c r="A3" s="5" t="s">
        <v>18</v>
      </c>
      <c r="B3" s="5">
        <v>40.398539999999997</v>
      </c>
      <c r="C3" s="5">
        <v>46.923729999999999</v>
      </c>
      <c r="D3" s="6">
        <f t="shared" ref="D3:D6" si="0">(C3-B3)/B3</f>
        <v>0.16152044108524721</v>
      </c>
      <c r="E3" s="5">
        <v>68.690316600000003</v>
      </c>
      <c r="F3" s="6">
        <f t="shared" ref="F3:F6" si="1">(E3-C3)/C3</f>
        <v>0.46387161890156653</v>
      </c>
      <c r="G3" s="7"/>
      <c r="H3" s="5">
        <f>G3+E3</f>
        <v>68.690316600000003</v>
      </c>
    </row>
    <row r="4" spans="1:10" x14ac:dyDescent="0.3">
      <c r="A4" s="5" t="s">
        <v>25</v>
      </c>
      <c r="B4" s="5">
        <v>32.83211</v>
      </c>
      <c r="C4" s="5">
        <v>41.439430000000002</v>
      </c>
      <c r="D4" s="6">
        <f t="shared" si="0"/>
        <v>0.26216164602275033</v>
      </c>
      <c r="E4" s="5">
        <v>45.18</v>
      </c>
      <c r="F4" s="6">
        <f t="shared" si="1"/>
        <v>9.0265961669839523E-2</v>
      </c>
      <c r="G4" s="7"/>
      <c r="H4" s="5">
        <f>G4+E4</f>
        <v>45.18</v>
      </c>
    </row>
    <row r="5" spans="1:10" x14ac:dyDescent="0.3">
      <c r="A5" s="5" t="s">
        <v>10</v>
      </c>
      <c r="B5" s="5">
        <v>35.643019100000004</v>
      </c>
      <c r="C5" s="5">
        <v>44.948169999999998</v>
      </c>
      <c r="D5" s="6">
        <f t="shared" si="0"/>
        <v>0.26106517166498933</v>
      </c>
      <c r="E5" s="5">
        <v>19.446361499999998</v>
      </c>
      <c r="F5" s="6">
        <f t="shared" si="1"/>
        <v>-0.56736032857399976</v>
      </c>
      <c r="G5" s="7"/>
      <c r="H5" s="5">
        <f>G5+E5</f>
        <v>19.446361499999998</v>
      </c>
    </row>
    <row r="6" spans="1:10" x14ac:dyDescent="0.3">
      <c r="A6" s="15" t="s">
        <v>1</v>
      </c>
      <c r="B6" s="15">
        <v>427.74617999999998</v>
      </c>
      <c r="C6" s="15">
        <v>561.63122999999996</v>
      </c>
      <c r="D6" s="16">
        <f t="shared" si="0"/>
        <v>0.3130011587713068</v>
      </c>
      <c r="E6" s="15">
        <v>443.33258999999998</v>
      </c>
      <c r="F6" s="16">
        <f t="shared" si="1"/>
        <v>-0.21063401335427873</v>
      </c>
      <c r="G6" s="17"/>
      <c r="H6" s="15">
        <f>G6+E6</f>
        <v>443.33258999999998</v>
      </c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12</v>
      </c>
      <c r="B10" s="5">
        <v>168.60964899999999</v>
      </c>
      <c r="C10" s="5">
        <v>163.4651561</v>
      </c>
      <c r="D10" s="6">
        <f t="shared" ref="D10:D18" si="2">(C10-B10)/B10</f>
        <v>-3.0511260360906088E-2</v>
      </c>
      <c r="E10" s="5">
        <v>177.25769530000002</v>
      </c>
      <c r="F10" s="6">
        <f t="shared" ref="F10:F18" si="3">(E10-C10)/C10</f>
        <v>8.4376019508172251E-2</v>
      </c>
      <c r="G10" s="7"/>
      <c r="H10" s="5">
        <f t="shared" ref="H10:H24" si="4">G10+E10</f>
        <v>177.25769530000002</v>
      </c>
    </row>
    <row r="11" spans="1:10" x14ac:dyDescent="0.3">
      <c r="A11" s="5" t="s">
        <v>4</v>
      </c>
      <c r="B11" s="5">
        <v>28.086453799999997</v>
      </c>
      <c r="C11" s="5">
        <v>92.260555200000013</v>
      </c>
      <c r="D11" s="6">
        <f t="shared" si="2"/>
        <v>2.2848773240287108</v>
      </c>
      <c r="E11" s="5">
        <v>102.32290089999999</v>
      </c>
      <c r="F11" s="6">
        <f t="shared" si="3"/>
        <v>0.10906443905726658</v>
      </c>
      <c r="G11" s="7"/>
      <c r="H11" s="5">
        <f t="shared" si="4"/>
        <v>102.32290089999999</v>
      </c>
    </row>
    <row r="12" spans="1:10" x14ac:dyDescent="0.3">
      <c r="A12" s="5" t="s">
        <v>3</v>
      </c>
      <c r="B12" s="5">
        <v>12.2647625</v>
      </c>
      <c r="C12" s="5">
        <v>21.425316899999999</v>
      </c>
      <c r="D12" s="6">
        <f t="shared" si="2"/>
        <v>0.74690026814624411</v>
      </c>
      <c r="E12" s="5">
        <v>24.377773900000001</v>
      </c>
      <c r="F12" s="6">
        <f t="shared" si="3"/>
        <v>0.13780225579767283</v>
      </c>
      <c r="G12" s="7"/>
      <c r="H12" s="5">
        <f t="shared" si="4"/>
        <v>24.377773900000001</v>
      </c>
    </row>
    <row r="13" spans="1:10" x14ac:dyDescent="0.3">
      <c r="A13" s="5" t="s">
        <v>20</v>
      </c>
      <c r="B13" s="5">
        <v>3.0880774999999998</v>
      </c>
      <c r="C13" s="5">
        <v>7.0341500000000003</v>
      </c>
      <c r="D13" s="6">
        <f t="shared" si="2"/>
        <v>1.2778411487406003</v>
      </c>
      <c r="E13" s="5">
        <v>8.5358699999999992</v>
      </c>
      <c r="F13" s="6">
        <f t="shared" si="3"/>
        <v>0.21348990283118768</v>
      </c>
      <c r="G13" s="7"/>
      <c r="H13" s="5">
        <f t="shared" si="4"/>
        <v>8.5358699999999992</v>
      </c>
    </row>
    <row r="14" spans="1:10" x14ac:dyDescent="0.3">
      <c r="A14" s="5" t="s">
        <v>24</v>
      </c>
      <c r="B14" s="5">
        <v>0</v>
      </c>
      <c r="C14" s="5">
        <v>0.97199999999999998</v>
      </c>
      <c r="D14" s="6" t="e">
        <f t="shared" si="2"/>
        <v>#DIV/0!</v>
      </c>
      <c r="E14" s="5">
        <v>5.65794</v>
      </c>
      <c r="F14" s="6">
        <f t="shared" si="3"/>
        <v>4.8209259259259261</v>
      </c>
      <c r="G14" s="7"/>
      <c r="H14" s="5">
        <f t="shared" si="4"/>
        <v>5.65794</v>
      </c>
    </row>
    <row r="15" spans="1:10" x14ac:dyDescent="0.3">
      <c r="A15" s="5" t="s">
        <v>9</v>
      </c>
      <c r="B15" s="5">
        <v>16.091158700000001</v>
      </c>
      <c r="C15" s="5">
        <v>14.463115200000001</v>
      </c>
      <c r="D15" s="6">
        <f t="shared" si="2"/>
        <v>-0.10117627514294544</v>
      </c>
      <c r="E15" s="5">
        <v>4.5668198000000002</v>
      </c>
      <c r="F15" s="6">
        <f t="shared" si="3"/>
        <v>-0.68424369599157997</v>
      </c>
      <c r="G15" s="7"/>
      <c r="H15" s="5">
        <f t="shared" si="4"/>
        <v>4.5668198000000002</v>
      </c>
    </row>
    <row r="16" spans="1:10" x14ac:dyDescent="0.3">
      <c r="A16" s="5" t="s">
        <v>16</v>
      </c>
      <c r="B16" s="5">
        <v>4.6777477000000003</v>
      </c>
      <c r="C16" s="5">
        <v>7.8869300000000004</v>
      </c>
      <c r="D16" s="6">
        <f t="shared" si="2"/>
        <v>0.686052883955242</v>
      </c>
      <c r="E16" s="5">
        <v>3.9778199999999999</v>
      </c>
      <c r="F16" s="6">
        <f t="shared" si="3"/>
        <v>-0.49564405922202942</v>
      </c>
      <c r="G16" s="7"/>
      <c r="H16" s="5">
        <f t="shared" si="4"/>
        <v>3.9778199999999999</v>
      </c>
    </row>
    <row r="17" spans="1:8" x14ac:dyDescent="0.3">
      <c r="A17" s="5" t="s">
        <v>5</v>
      </c>
      <c r="B17" s="5">
        <v>0.32129999999999997</v>
      </c>
      <c r="C17" s="5">
        <v>1.2370160000000001</v>
      </c>
      <c r="D17" s="6">
        <f t="shared" si="2"/>
        <v>2.8500342359165898</v>
      </c>
      <c r="E17" s="5">
        <v>1.9545699999999999</v>
      </c>
      <c r="F17" s="6">
        <f t="shared" si="3"/>
        <v>0.58006848739224048</v>
      </c>
      <c r="G17" s="7"/>
      <c r="H17" s="5">
        <f t="shared" si="4"/>
        <v>1.9545699999999999</v>
      </c>
    </row>
    <row r="18" spans="1:8" x14ac:dyDescent="0.3">
      <c r="A18" s="5" t="s">
        <v>6</v>
      </c>
      <c r="B18" s="5">
        <v>5.5837341</v>
      </c>
      <c r="C18" s="5">
        <v>6.8382100000000001</v>
      </c>
      <c r="D18" s="6">
        <f t="shared" si="2"/>
        <v>0.22466612441305184</v>
      </c>
      <c r="E18" s="5">
        <v>1.6781753999999998</v>
      </c>
      <c r="F18" s="6">
        <f t="shared" si="3"/>
        <v>-0.75458849611228673</v>
      </c>
      <c r="G18" s="7"/>
      <c r="H18" s="5">
        <f t="shared" si="4"/>
        <v>1.6781753999999998</v>
      </c>
    </row>
    <row r="19" spans="1:8" x14ac:dyDescent="0.3">
      <c r="A19" s="5" t="s">
        <v>21</v>
      </c>
      <c r="B19" s="5">
        <v>4.6800000000000001E-2</v>
      </c>
      <c r="C19" s="5">
        <v>-1.8720000000000001E-2</v>
      </c>
      <c r="D19" s="5"/>
      <c r="E19" s="5">
        <v>0</v>
      </c>
      <c r="F19" s="7"/>
      <c r="G19" s="7"/>
      <c r="H19" s="5">
        <f t="shared" si="4"/>
        <v>0</v>
      </c>
    </row>
    <row r="20" spans="1:8" x14ac:dyDescent="0.3">
      <c r="A20" s="5" t="s">
        <v>7</v>
      </c>
      <c r="B20" s="5">
        <v>0.13500000000000001</v>
      </c>
      <c r="C20" s="5">
        <v>0.10008</v>
      </c>
      <c r="D20" s="5"/>
      <c r="E20" s="5">
        <v>-3.2399999999999998E-2</v>
      </c>
      <c r="F20" s="7"/>
      <c r="G20" s="7"/>
      <c r="H20" s="5">
        <f t="shared" si="4"/>
        <v>-3.2399999999999998E-2</v>
      </c>
    </row>
    <row r="21" spans="1:8" x14ac:dyDescent="0.3">
      <c r="A21" s="5" t="s">
        <v>13</v>
      </c>
      <c r="B21" s="5">
        <v>1.6062811000000001</v>
      </c>
      <c r="C21" s="5">
        <v>1.9460336999999999</v>
      </c>
      <c r="D21" s="6">
        <f t="shared" ref="D21:D24" si="5">(C21-B21)/B21</f>
        <v>0.21151503307858116</v>
      </c>
      <c r="E21" s="5">
        <v>-0.78530450000000007</v>
      </c>
      <c r="F21" s="6">
        <f t="shared" ref="F21:F24" si="6">(E21-C21)/C21</f>
        <v>-1.403541058924108</v>
      </c>
      <c r="G21" s="7"/>
      <c r="H21" s="5">
        <f t="shared" si="4"/>
        <v>-0.78530450000000007</v>
      </c>
    </row>
    <row r="22" spans="1:8" x14ac:dyDescent="0.3">
      <c r="A22" s="5" t="s">
        <v>17</v>
      </c>
      <c r="B22" s="5">
        <v>3.6443735000000008</v>
      </c>
      <c r="C22" s="5">
        <v>10.061099300000002</v>
      </c>
      <c r="D22" s="6">
        <f t="shared" si="5"/>
        <v>1.7607212323325259</v>
      </c>
      <c r="E22" s="5">
        <v>-5.8221625000000001</v>
      </c>
      <c r="F22" s="6">
        <f t="shared" si="6"/>
        <v>-1.5786805523328846</v>
      </c>
      <c r="G22" s="7"/>
      <c r="H22" s="5">
        <f t="shared" si="4"/>
        <v>-5.8221625000000001</v>
      </c>
    </row>
    <row r="23" spans="1:8" x14ac:dyDescent="0.3">
      <c r="A23" s="5" t="s">
        <v>8</v>
      </c>
      <c r="B23" s="5">
        <v>74.717173000000003</v>
      </c>
      <c r="C23" s="5">
        <v>100.64895760000002</v>
      </c>
      <c r="D23" s="6">
        <f t="shared" si="5"/>
        <v>0.34706592285015941</v>
      </c>
      <c r="E23" s="5">
        <v>-13.673786400000001</v>
      </c>
      <c r="F23" s="6">
        <f t="shared" si="6"/>
        <v>-1.1358562147691831</v>
      </c>
      <c r="G23" s="7"/>
      <c r="H23" s="5">
        <f t="shared" si="4"/>
        <v>-13.673786400000001</v>
      </c>
    </row>
    <row r="24" spans="1:8" x14ac:dyDescent="0.3">
      <c r="A24" s="15" t="s">
        <v>1</v>
      </c>
      <c r="B24" s="15">
        <v>318.87251090000001</v>
      </c>
      <c r="C24" s="15">
        <v>428.31990000000008</v>
      </c>
      <c r="D24" s="16">
        <f t="shared" si="5"/>
        <v>0.34323243728689834</v>
      </c>
      <c r="E24" s="15">
        <v>310.01591189999999</v>
      </c>
      <c r="F24" s="16">
        <f t="shared" si="6"/>
        <v>-0.27620474346393914</v>
      </c>
      <c r="G24" s="17"/>
      <c r="H24" s="15">
        <f t="shared" si="4"/>
        <v>310.01591189999999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18.561614800000001</v>
      </c>
      <c r="C28" s="5">
        <v>27.027439600000001</v>
      </c>
      <c r="D28" s="6">
        <f t="shared" ref="D28:D31" si="7">(C28-B28)/B28</f>
        <v>0.45609311965680915</v>
      </c>
      <c r="E28" s="5">
        <v>13.8393418</v>
      </c>
      <c r="F28" s="6">
        <f t="shared" ref="F28:F30" si="8">(E28-C28)/C28</f>
        <v>-0.48795216991253587</v>
      </c>
      <c r="G28" s="7"/>
      <c r="H28" s="5">
        <f t="shared" ref="H28:H35" si="9">G28+E28</f>
        <v>13.8393418</v>
      </c>
    </row>
    <row r="29" spans="1:8" x14ac:dyDescent="0.3">
      <c r="A29" s="5" t="s">
        <v>11</v>
      </c>
      <c r="B29" s="5">
        <v>4.3208728000000001</v>
      </c>
      <c r="C29" s="5">
        <v>6.9030717000000008</v>
      </c>
      <c r="D29" s="6">
        <f t="shared" si="7"/>
        <v>0.59761048739967548</v>
      </c>
      <c r="E29" s="5">
        <v>3.1656599999999999</v>
      </c>
      <c r="F29" s="6">
        <f t="shared" si="8"/>
        <v>-0.54141284668968459</v>
      </c>
      <c r="G29" s="7"/>
      <c r="H29" s="5">
        <f t="shared" si="9"/>
        <v>3.1656599999999999</v>
      </c>
    </row>
    <row r="30" spans="1:8" x14ac:dyDescent="0.3">
      <c r="A30" s="5" t="s">
        <v>22</v>
      </c>
      <c r="B30" s="5">
        <v>3.3129015000000002</v>
      </c>
      <c r="C30" s="5">
        <v>3.8222486999999998</v>
      </c>
      <c r="D30" s="6">
        <f t="shared" si="7"/>
        <v>0.15374655720974489</v>
      </c>
      <c r="E30" s="5">
        <v>2.0935809999999999</v>
      </c>
      <c r="F30" s="6">
        <f t="shared" si="8"/>
        <v>-0.4522645792253131</v>
      </c>
      <c r="G30" s="7"/>
      <c r="H30" s="5">
        <f t="shared" si="9"/>
        <v>2.0935809999999999</v>
      </c>
    </row>
    <row r="31" spans="1:8" x14ac:dyDescent="0.3">
      <c r="A31" s="5" t="s">
        <v>4</v>
      </c>
      <c r="B31" s="5">
        <v>1.6886699999999999</v>
      </c>
      <c r="C31" s="5">
        <v>0.86175000000000002</v>
      </c>
      <c r="D31" s="6">
        <f t="shared" si="7"/>
        <v>-0.48968715024249848</v>
      </c>
      <c r="E31" s="5">
        <v>0.23617869999999999</v>
      </c>
      <c r="F31" s="7"/>
      <c r="G31" s="7"/>
      <c r="H31" s="5">
        <f t="shared" si="9"/>
        <v>0.23617869999999999</v>
      </c>
    </row>
    <row r="32" spans="1:8" x14ac:dyDescent="0.3">
      <c r="A32" s="5" t="s">
        <v>23</v>
      </c>
      <c r="B32" s="5">
        <v>5.5800000000000002E-2</v>
      </c>
      <c r="C32" s="5">
        <v>0</v>
      </c>
      <c r="D32" s="5"/>
      <c r="E32" s="5">
        <v>0.1116</v>
      </c>
      <c r="F32" s="7"/>
      <c r="G32" s="7"/>
      <c r="H32" s="5">
        <f t="shared" si="9"/>
        <v>0.1116</v>
      </c>
    </row>
    <row r="33" spans="1:8" x14ac:dyDescent="0.3">
      <c r="A33" s="5" t="s">
        <v>5</v>
      </c>
      <c r="B33" s="5">
        <v>0</v>
      </c>
      <c r="C33" s="5">
        <v>8.3159999999999998E-2</v>
      </c>
      <c r="D33" s="5"/>
      <c r="E33" s="5">
        <v>0</v>
      </c>
      <c r="F33" s="7"/>
      <c r="G33" s="7"/>
      <c r="H33" s="5">
        <f t="shared" si="9"/>
        <v>0</v>
      </c>
    </row>
    <row r="34" spans="1:8" x14ac:dyDescent="0.3">
      <c r="A34" s="5" t="s">
        <v>8</v>
      </c>
      <c r="B34" s="5">
        <v>7.7031599999999996</v>
      </c>
      <c r="C34" s="5">
        <v>6.2504999999999997</v>
      </c>
      <c r="D34" s="6">
        <f t="shared" ref="D34:D35" si="10">(C34-B34)/B34</f>
        <v>-0.18857975168632093</v>
      </c>
      <c r="E34" s="5">
        <v>0</v>
      </c>
      <c r="F34" s="7"/>
      <c r="G34" s="7"/>
      <c r="H34" s="5">
        <f t="shared" si="9"/>
        <v>0</v>
      </c>
    </row>
    <row r="35" spans="1:8" x14ac:dyDescent="0.3">
      <c r="A35" s="15" t="s">
        <v>1</v>
      </c>
      <c r="B35" s="15">
        <v>35.643019100000004</v>
      </c>
      <c r="C35" s="15">
        <v>44.948169999999998</v>
      </c>
      <c r="D35" s="16">
        <f t="shared" si="10"/>
        <v>0.26106517166498933</v>
      </c>
      <c r="E35" s="15">
        <v>19.446361500000002</v>
      </c>
      <c r="F35" s="16">
        <f>(E35-C35)/C35</f>
        <v>-0.56736032857399976</v>
      </c>
      <c r="G35" s="17"/>
      <c r="H35" s="15">
        <f t="shared" si="9"/>
        <v>19.446361500000002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27</v>
      </c>
      <c r="B39" s="5">
        <v>29.32254</v>
      </c>
      <c r="C39" s="5">
        <v>27.948070000000001</v>
      </c>
      <c r="D39" s="6">
        <f t="shared" ref="D39:D40" si="11">(C39-B39)/B39</f>
        <v>-4.6874179385551142E-2</v>
      </c>
      <c r="E39" s="5">
        <v>30.607055999999996</v>
      </c>
      <c r="F39" s="6">
        <f t="shared" ref="F39:F42" si="12">(E39-C39)/C39</f>
        <v>9.5140236875032702E-2</v>
      </c>
      <c r="G39" s="7"/>
      <c r="H39" s="5">
        <f t="shared" ref="H39:H44" si="13">G39+E39</f>
        <v>30.607055999999996</v>
      </c>
    </row>
    <row r="40" spans="1:8" x14ac:dyDescent="0.3">
      <c r="A40" s="5" t="s">
        <v>26</v>
      </c>
      <c r="B40" s="5">
        <v>11.076000000000002</v>
      </c>
      <c r="C40" s="5">
        <v>13.5563751</v>
      </c>
      <c r="D40" s="6">
        <f t="shared" si="11"/>
        <v>0.2239414138678221</v>
      </c>
      <c r="E40" s="5">
        <v>22.108002199999998</v>
      </c>
      <c r="F40" s="6">
        <f t="shared" si="12"/>
        <v>0.63081959866985371</v>
      </c>
      <c r="G40" s="7"/>
      <c r="H40" s="5">
        <f t="shared" si="13"/>
        <v>22.108002199999998</v>
      </c>
    </row>
    <row r="41" spans="1:8" x14ac:dyDescent="0.3">
      <c r="A41" s="5" t="s">
        <v>30</v>
      </c>
      <c r="B41" s="5">
        <v>0</v>
      </c>
      <c r="C41" s="5">
        <v>0</v>
      </c>
      <c r="D41" s="5"/>
      <c r="E41" s="5">
        <v>15.197658400000002</v>
      </c>
      <c r="F41" s="6" t="e">
        <f t="shared" si="12"/>
        <v>#DIV/0!</v>
      </c>
      <c r="G41" s="7"/>
      <c r="H41" s="5">
        <f t="shared" si="13"/>
        <v>15.197658400000002</v>
      </c>
    </row>
    <row r="42" spans="1:8" x14ac:dyDescent="0.3">
      <c r="A42" s="5" t="s">
        <v>15</v>
      </c>
      <c r="B42" s="5">
        <v>0</v>
      </c>
      <c r="C42" s="5">
        <v>3.1103999999999998</v>
      </c>
      <c r="D42" s="6" t="e">
        <f t="shared" ref="D42:D44" si="14">(C42-B42)/B42</f>
        <v>#DIV/0!</v>
      </c>
      <c r="E42" s="5">
        <v>0.77759999999999996</v>
      </c>
      <c r="F42" s="6">
        <f t="shared" si="12"/>
        <v>-0.75</v>
      </c>
      <c r="G42" s="7"/>
      <c r="H42" s="5">
        <f t="shared" si="13"/>
        <v>0.77759999999999996</v>
      </c>
    </row>
    <row r="43" spans="1:8" x14ac:dyDescent="0.3">
      <c r="A43" s="5" t="s">
        <v>19</v>
      </c>
      <c r="B43" s="5">
        <v>0</v>
      </c>
      <c r="C43" s="5">
        <v>2.3088848999999998</v>
      </c>
      <c r="D43" s="6" t="e">
        <f t="shared" si="14"/>
        <v>#DIV/0!</v>
      </c>
      <c r="E43" s="5">
        <v>0</v>
      </c>
      <c r="F43" s="7"/>
      <c r="G43" s="7"/>
      <c r="H43" s="5">
        <f t="shared" si="13"/>
        <v>0</v>
      </c>
    </row>
    <row r="44" spans="1:8" x14ac:dyDescent="0.3">
      <c r="A44" s="15" t="s">
        <v>1</v>
      </c>
      <c r="B44" s="15">
        <v>40.398539999999997</v>
      </c>
      <c r="C44" s="15">
        <v>46.923729999999999</v>
      </c>
      <c r="D44" s="16">
        <f t="shared" si="14"/>
        <v>0.16152044108524721</v>
      </c>
      <c r="E44" s="15">
        <v>68.690316599999989</v>
      </c>
      <c r="F44" s="16">
        <f>(E44-C44)/C44</f>
        <v>0.4638716189015662</v>
      </c>
      <c r="G44" s="17"/>
      <c r="H44" s="15">
        <f t="shared" si="13"/>
        <v>68.690316599999989</v>
      </c>
    </row>
    <row r="46" spans="1:8" x14ac:dyDescent="0.3">
      <c r="A46" s="12" t="s">
        <v>40</v>
      </c>
    </row>
    <row r="47" spans="1:8" x14ac:dyDescent="0.3">
      <c r="A47" s="4" t="s">
        <v>0</v>
      </c>
      <c r="B47" s="4" t="s">
        <v>41</v>
      </c>
      <c r="C47" s="4" t="s">
        <v>42</v>
      </c>
      <c r="D47" s="4" t="s">
        <v>33</v>
      </c>
      <c r="E47" s="4" t="s">
        <v>44</v>
      </c>
      <c r="F47" s="4" t="s">
        <v>34</v>
      </c>
      <c r="G47" s="4" t="s">
        <v>31</v>
      </c>
      <c r="H47" s="4" t="s">
        <v>32</v>
      </c>
    </row>
    <row r="48" spans="1:8" x14ac:dyDescent="0.3">
      <c r="A48" s="5" t="s">
        <v>28</v>
      </c>
      <c r="B48" s="5">
        <v>32.83211</v>
      </c>
      <c r="C48" s="5">
        <v>41.439430000000002</v>
      </c>
      <c r="D48" s="5"/>
      <c r="E48" s="5">
        <v>45.18</v>
      </c>
      <c r="F48" s="6">
        <f t="shared" ref="F48:F49" si="15">(E48-C48)/C48</f>
        <v>9.0265961669839523E-2</v>
      </c>
      <c r="G48" s="7"/>
      <c r="H48" s="5">
        <f>G48+E48</f>
        <v>45.18</v>
      </c>
    </row>
    <row r="49" spans="1:8" x14ac:dyDescent="0.3">
      <c r="A49" s="15" t="s">
        <v>1</v>
      </c>
      <c r="B49" s="15">
        <v>32.83211</v>
      </c>
      <c r="C49" s="15">
        <v>41.439430000000002</v>
      </c>
      <c r="D49" s="15"/>
      <c r="E49" s="15">
        <v>45.18</v>
      </c>
      <c r="F49" s="16">
        <f t="shared" si="15"/>
        <v>9.0265961669839523E-2</v>
      </c>
      <c r="G49" s="17"/>
      <c r="H49" s="15">
        <f>G49+E49</f>
        <v>45.18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C596-D2C1-464C-B942-2B46E6FC259E}">
  <dimension ref="A1:K39"/>
  <sheetViews>
    <sheetView workbookViewId="0">
      <selection activeCell="F12" sqref="F12"/>
    </sheetView>
  </sheetViews>
  <sheetFormatPr defaultRowHeight="14.4" x14ac:dyDescent="0.3"/>
  <cols>
    <col min="1" max="1" width="12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1" x14ac:dyDescent="0.3">
      <c r="A2" s="5" t="s">
        <v>18</v>
      </c>
      <c r="B2" s="5">
        <v>68.5135006</v>
      </c>
      <c r="C2" s="5">
        <v>59.535387099999987</v>
      </c>
      <c r="D2" s="6">
        <f>(C2-B2)/B2</f>
        <v>-0.13104152351544002</v>
      </c>
      <c r="E2" s="5">
        <v>84.858469200000002</v>
      </c>
      <c r="F2" s="6">
        <f>(E2-C2)/C2</f>
        <v>0.42534504827297948</v>
      </c>
      <c r="G2" s="7"/>
      <c r="H2" s="5">
        <f>G2+E2</f>
        <v>84.858469200000002</v>
      </c>
      <c r="K2">
        <v>100000</v>
      </c>
    </row>
    <row r="3" spans="1:11" x14ac:dyDescent="0.3">
      <c r="A3" s="5" t="s">
        <v>10</v>
      </c>
      <c r="B3" s="5">
        <v>29.335416800000008</v>
      </c>
      <c r="C3" s="5">
        <v>34.187705600000008</v>
      </c>
      <c r="D3" s="6">
        <f t="shared" ref="D3:D5" si="0">(C3-B3)/B3</f>
        <v>0.16540718794218731</v>
      </c>
      <c r="E3" s="5">
        <v>17.132356399999999</v>
      </c>
      <c r="F3" s="6">
        <f t="shared" ref="F3:F5" si="1">(E3-C3)/C3</f>
        <v>-0.49887375887547147</v>
      </c>
      <c r="G3" s="7"/>
      <c r="H3" s="5">
        <f>G3+E3</f>
        <v>17.132356399999999</v>
      </c>
    </row>
    <row r="4" spans="1:11" x14ac:dyDescent="0.3">
      <c r="A4" s="5" t="s">
        <v>2</v>
      </c>
      <c r="B4" s="5">
        <v>47.625112600000016</v>
      </c>
      <c r="C4" s="5">
        <v>49.514147300000069</v>
      </c>
      <c r="D4" s="6">
        <f t="shared" si="0"/>
        <v>3.9664676824303247E-2</v>
      </c>
      <c r="E4" s="5">
        <v>11.308234400000002</v>
      </c>
      <c r="F4" s="6">
        <f t="shared" si="1"/>
        <v>-0.7716160932453342</v>
      </c>
      <c r="G4" s="7"/>
      <c r="H4" s="5">
        <f>G4+E4</f>
        <v>11.308234400000002</v>
      </c>
    </row>
    <row r="5" spans="1:11" x14ac:dyDescent="0.3">
      <c r="A5" s="15" t="s">
        <v>1</v>
      </c>
      <c r="B5" s="15">
        <v>145.47403</v>
      </c>
      <c r="C5" s="15">
        <v>143.23724000000004</v>
      </c>
      <c r="D5" s="16">
        <f t="shared" si="0"/>
        <v>-1.537587155590559E-2</v>
      </c>
      <c r="E5" s="15">
        <v>113.29906</v>
      </c>
      <c r="F5" s="16">
        <f t="shared" si="1"/>
        <v>-0.20901114821815917</v>
      </c>
      <c r="G5" s="17"/>
      <c r="H5" s="15">
        <f>G5+E5</f>
        <v>113.29906</v>
      </c>
    </row>
    <row r="7" spans="1:11" x14ac:dyDescent="0.3">
      <c r="A7" s="10" t="s">
        <v>37</v>
      </c>
    </row>
    <row r="8" spans="1:11" x14ac:dyDescent="0.3">
      <c r="A8" s="4" t="s">
        <v>0</v>
      </c>
      <c r="B8" s="4" t="s">
        <v>41</v>
      </c>
      <c r="C8" s="4" t="s">
        <v>42</v>
      </c>
      <c r="D8" s="4" t="s">
        <v>33</v>
      </c>
      <c r="E8" s="4" t="s">
        <v>44</v>
      </c>
      <c r="F8" s="4" t="s">
        <v>34</v>
      </c>
      <c r="G8" s="4" t="s">
        <v>31</v>
      </c>
      <c r="H8" s="4" t="s">
        <v>32</v>
      </c>
    </row>
    <row r="9" spans="1:11" x14ac:dyDescent="0.3">
      <c r="A9" s="5" t="s">
        <v>4</v>
      </c>
      <c r="B9" s="5">
        <v>10.675160899999998</v>
      </c>
      <c r="C9" s="5">
        <v>21.568794699999998</v>
      </c>
      <c r="D9" s="6">
        <f t="shared" ref="D9:D14" si="2">(C9-B9)/B9</f>
        <v>1.0204655369644127</v>
      </c>
      <c r="E9" s="5">
        <v>12.608386899999999</v>
      </c>
      <c r="F9" s="6">
        <f t="shared" ref="F9:F12" si="3">(E9-C9)/C9</f>
        <v>-0.41543386752158196</v>
      </c>
      <c r="G9" s="7"/>
      <c r="H9" s="5">
        <f t="shared" ref="H9:H22" si="4">G9+E9</f>
        <v>12.608386899999999</v>
      </c>
    </row>
    <row r="10" spans="1:11" x14ac:dyDescent="0.3">
      <c r="A10" s="5" t="s">
        <v>20</v>
      </c>
      <c r="B10" s="5">
        <v>7.6353435999999997</v>
      </c>
      <c r="C10" s="5">
        <v>4.368571199999999</v>
      </c>
      <c r="D10" s="6">
        <f t="shared" si="2"/>
        <v>-0.42784877421888401</v>
      </c>
      <c r="E10" s="5">
        <v>5.3179633000000015</v>
      </c>
      <c r="F10" s="6">
        <f t="shared" si="3"/>
        <v>0.2173232520509229</v>
      </c>
      <c r="G10" s="7"/>
      <c r="H10" s="5">
        <f t="shared" si="4"/>
        <v>5.3179633000000015</v>
      </c>
    </row>
    <row r="11" spans="1:11" x14ac:dyDescent="0.3">
      <c r="A11" s="5" t="s">
        <v>12</v>
      </c>
      <c r="B11" s="5">
        <v>1.9845493000000003</v>
      </c>
      <c r="C11" s="5">
        <v>2.6471769999999988</v>
      </c>
      <c r="D11" s="6">
        <f t="shared" si="2"/>
        <v>0.33389329254758165</v>
      </c>
      <c r="E11" s="5">
        <v>1.6334554999999999</v>
      </c>
      <c r="F11" s="6">
        <f t="shared" si="3"/>
        <v>-0.3829443592173849</v>
      </c>
      <c r="G11" s="7"/>
      <c r="H11" s="5">
        <f t="shared" si="4"/>
        <v>1.6334554999999999</v>
      </c>
    </row>
    <row r="12" spans="1:11" x14ac:dyDescent="0.3">
      <c r="A12" s="5" t="s">
        <v>16</v>
      </c>
      <c r="B12" s="5">
        <v>0.39082789999999995</v>
      </c>
      <c r="C12" s="5">
        <v>0.61655170000000015</v>
      </c>
      <c r="D12" s="6">
        <f t="shared" si="2"/>
        <v>0.57755293314525458</v>
      </c>
      <c r="E12" s="5">
        <v>0.67506929999999998</v>
      </c>
      <c r="F12" s="6">
        <f t="shared" si="3"/>
        <v>9.4911099912626667E-2</v>
      </c>
      <c r="G12" s="7"/>
      <c r="H12" s="5">
        <f t="shared" si="4"/>
        <v>0.67506929999999998</v>
      </c>
    </row>
    <row r="13" spans="1:11" x14ac:dyDescent="0.3">
      <c r="A13" s="5" t="s">
        <v>3</v>
      </c>
      <c r="B13" s="5">
        <v>0.78661380000000003</v>
      </c>
      <c r="C13" s="5">
        <v>0.61379039999999996</v>
      </c>
      <c r="D13" s="6">
        <f t="shared" si="2"/>
        <v>-0.21970552766808829</v>
      </c>
      <c r="E13" s="5">
        <v>0.48981970000000008</v>
      </c>
      <c r="F13" s="7"/>
      <c r="G13" s="7"/>
      <c r="H13" s="5">
        <f t="shared" si="4"/>
        <v>0.48981970000000008</v>
      </c>
    </row>
    <row r="14" spans="1:11" x14ac:dyDescent="0.3">
      <c r="A14" s="5" t="s">
        <v>5</v>
      </c>
      <c r="B14" s="5">
        <v>1.4696539</v>
      </c>
      <c r="C14" s="5">
        <v>0.65003119999999992</v>
      </c>
      <c r="D14" s="6">
        <f t="shared" si="2"/>
        <v>-0.55769776816160599</v>
      </c>
      <c r="E14" s="5">
        <v>0.2261011</v>
      </c>
      <c r="F14" s="7"/>
      <c r="G14" s="7"/>
      <c r="H14" s="5">
        <f t="shared" si="4"/>
        <v>0.2261011</v>
      </c>
    </row>
    <row r="15" spans="1:11" x14ac:dyDescent="0.3">
      <c r="A15" s="5" t="s">
        <v>24</v>
      </c>
      <c r="B15" s="5">
        <v>0</v>
      </c>
      <c r="C15" s="5">
        <v>0</v>
      </c>
      <c r="D15" s="5"/>
      <c r="E15" s="5">
        <v>0.20141000000000001</v>
      </c>
      <c r="F15" s="7"/>
      <c r="G15" s="7"/>
      <c r="H15" s="5">
        <f t="shared" si="4"/>
        <v>0.20141000000000001</v>
      </c>
    </row>
    <row r="16" spans="1:11" x14ac:dyDescent="0.3">
      <c r="A16" s="5" t="s">
        <v>6</v>
      </c>
      <c r="B16" s="5">
        <v>0.99882720000000014</v>
      </c>
      <c r="C16" s="5">
        <v>1.0573732</v>
      </c>
      <c r="D16" s="6">
        <f t="shared" ref="D16:D22" si="5">(C16-B16)/B16</f>
        <v>5.8614743371025409E-2</v>
      </c>
      <c r="E16" s="5">
        <v>-0.16894780000000004</v>
      </c>
      <c r="F16" s="6">
        <f t="shared" ref="F16:F17" si="6">(E16-C16)/C16</f>
        <v>-1.1597806715736696</v>
      </c>
      <c r="G16" s="7"/>
      <c r="H16" s="5">
        <f t="shared" si="4"/>
        <v>-0.16894780000000004</v>
      </c>
    </row>
    <row r="17" spans="1:8" x14ac:dyDescent="0.3">
      <c r="A17" s="5" t="s">
        <v>7</v>
      </c>
      <c r="B17" s="5">
        <v>0.71375359999999988</v>
      </c>
      <c r="C17" s="5">
        <v>1.4919373</v>
      </c>
      <c r="D17" s="6">
        <f t="shared" si="5"/>
        <v>1.0902693870826015</v>
      </c>
      <c r="E17" s="5">
        <v>-0.30392060000000004</v>
      </c>
      <c r="F17" s="6">
        <f t="shared" si="6"/>
        <v>-1.2037086947286593</v>
      </c>
      <c r="G17" s="7"/>
      <c r="H17" s="5">
        <f t="shared" si="4"/>
        <v>-0.30392060000000004</v>
      </c>
    </row>
    <row r="18" spans="1:8" x14ac:dyDescent="0.3">
      <c r="A18" s="5" t="s">
        <v>9</v>
      </c>
      <c r="B18" s="5">
        <v>6.1714423000000007</v>
      </c>
      <c r="C18" s="5">
        <v>3.1267532000000005</v>
      </c>
      <c r="D18" s="6">
        <f t="shared" si="5"/>
        <v>-0.49335130298471719</v>
      </c>
      <c r="E18" s="5">
        <v>-1.0867435000000001</v>
      </c>
      <c r="F18" s="6">
        <f t="shared" ref="F18:F22" si="7">(E18-C18)/C18</f>
        <v>-1.3475629288554016</v>
      </c>
      <c r="G18" s="7"/>
      <c r="H18" s="5">
        <f t="shared" si="4"/>
        <v>-1.0867435000000001</v>
      </c>
    </row>
    <row r="19" spans="1:8" x14ac:dyDescent="0.3">
      <c r="A19" s="5" t="s">
        <v>17</v>
      </c>
      <c r="B19" s="5">
        <v>3.6325352000000004</v>
      </c>
      <c r="C19" s="5">
        <v>1.0019843999999998</v>
      </c>
      <c r="D19" s="6">
        <f t="shared" si="5"/>
        <v>-0.72416388422058531</v>
      </c>
      <c r="E19" s="5">
        <v>-1.1381035000000002</v>
      </c>
      <c r="F19" s="6">
        <f t="shared" si="7"/>
        <v>-2.135849520212092</v>
      </c>
      <c r="G19" s="7"/>
      <c r="H19" s="5">
        <f t="shared" si="4"/>
        <v>-1.1381035000000002</v>
      </c>
    </row>
    <row r="20" spans="1:8" x14ac:dyDescent="0.3">
      <c r="A20" s="5" t="s">
        <v>13</v>
      </c>
      <c r="B20" s="5">
        <v>2.0977199999999989</v>
      </c>
      <c r="C20" s="5">
        <v>3.7151505000000005</v>
      </c>
      <c r="D20" s="6">
        <f t="shared" si="5"/>
        <v>0.77104213145701161</v>
      </c>
      <c r="E20" s="5">
        <v>-1.4128086000000002</v>
      </c>
      <c r="F20" s="6">
        <f t="shared" si="7"/>
        <v>-1.3802830060316533</v>
      </c>
      <c r="G20" s="7"/>
      <c r="H20" s="5">
        <f t="shared" si="4"/>
        <v>-1.4128086000000002</v>
      </c>
    </row>
    <row r="21" spans="1:8" x14ac:dyDescent="0.3">
      <c r="A21" s="5" t="s">
        <v>8</v>
      </c>
      <c r="B21" s="5">
        <v>11.068684899999997</v>
      </c>
      <c r="C21" s="5">
        <v>8.6560324999999985</v>
      </c>
      <c r="D21" s="6">
        <f t="shared" si="5"/>
        <v>-0.21797100755844984</v>
      </c>
      <c r="E21" s="5">
        <v>-5.7334474000000002</v>
      </c>
      <c r="F21" s="6">
        <f t="shared" si="7"/>
        <v>-1.6623643568805917</v>
      </c>
      <c r="G21" s="7"/>
      <c r="H21" s="5">
        <f t="shared" si="4"/>
        <v>-5.7334474000000002</v>
      </c>
    </row>
    <row r="22" spans="1:8" x14ac:dyDescent="0.3">
      <c r="A22" s="15" t="s">
        <v>1</v>
      </c>
      <c r="B22" s="15">
        <v>47.625112599999994</v>
      </c>
      <c r="C22" s="15">
        <v>49.514147300000005</v>
      </c>
      <c r="D22" s="16">
        <f t="shared" si="5"/>
        <v>3.9664676824302365E-2</v>
      </c>
      <c r="E22" s="15">
        <v>11.3082344</v>
      </c>
      <c r="F22" s="16">
        <f t="shared" si="7"/>
        <v>-0.77161609324533387</v>
      </c>
      <c r="G22" s="17"/>
      <c r="H22" s="15">
        <f t="shared" si="4"/>
        <v>11.3082344</v>
      </c>
    </row>
    <row r="24" spans="1:8" x14ac:dyDescent="0.3">
      <c r="A24" s="10" t="s">
        <v>38</v>
      </c>
    </row>
    <row r="25" spans="1:8" x14ac:dyDescent="0.3">
      <c r="A25" s="4" t="s">
        <v>0</v>
      </c>
      <c r="B25" s="4" t="s">
        <v>41</v>
      </c>
      <c r="C25" s="4" t="s">
        <v>42</v>
      </c>
      <c r="D25" s="4" t="s">
        <v>33</v>
      </c>
      <c r="E25" s="4" t="s">
        <v>44</v>
      </c>
      <c r="F25" s="4" t="s">
        <v>34</v>
      </c>
      <c r="G25" s="4" t="s">
        <v>31</v>
      </c>
      <c r="H25" s="4" t="s">
        <v>32</v>
      </c>
    </row>
    <row r="26" spans="1:8" x14ac:dyDescent="0.3">
      <c r="A26" s="5" t="s">
        <v>14</v>
      </c>
      <c r="B26" s="5">
        <v>15.592507599999999</v>
      </c>
      <c r="C26" s="5">
        <v>24.782407800000001</v>
      </c>
      <c r="D26" s="6">
        <f t="shared" ref="D26:D33" si="8">(C26-B26)/B26</f>
        <v>0.58937923493460431</v>
      </c>
      <c r="E26" s="5">
        <v>11.097000299999999</v>
      </c>
      <c r="F26" s="6">
        <f t="shared" ref="F26:F29" si="9">(E26-C26)/C26</f>
        <v>-0.55222267385980151</v>
      </c>
      <c r="G26" s="7"/>
      <c r="H26" s="5">
        <f t="shared" ref="H26:H33" si="10">G26+E26</f>
        <v>11.097000299999999</v>
      </c>
    </row>
    <row r="27" spans="1:8" x14ac:dyDescent="0.3">
      <c r="A27" s="5" t="s">
        <v>4</v>
      </c>
      <c r="B27" s="5">
        <v>7.1750148000000014</v>
      </c>
      <c r="C27" s="5">
        <v>4.6883175999999995</v>
      </c>
      <c r="D27" s="6">
        <f t="shared" si="8"/>
        <v>-0.34657729207750226</v>
      </c>
      <c r="E27" s="5">
        <v>3.8364761000000001</v>
      </c>
      <c r="F27" s="6">
        <f t="shared" si="9"/>
        <v>-0.18169449527054216</v>
      </c>
      <c r="G27" s="7"/>
      <c r="H27" s="5">
        <f t="shared" si="10"/>
        <v>3.8364761000000001</v>
      </c>
    </row>
    <row r="28" spans="1:8" x14ac:dyDescent="0.3">
      <c r="A28" s="5" t="s">
        <v>5</v>
      </c>
      <c r="B28" s="5">
        <v>1.8191206</v>
      </c>
      <c r="C28" s="5">
        <v>1.6758</v>
      </c>
      <c r="D28" s="6">
        <f t="shared" si="8"/>
        <v>-7.8785650605023114E-2</v>
      </c>
      <c r="E28" s="5">
        <v>0.91800000000000004</v>
      </c>
      <c r="F28" s="6">
        <f t="shared" si="9"/>
        <v>-0.45220193340494086</v>
      </c>
      <c r="G28" s="7"/>
      <c r="H28" s="5">
        <f t="shared" si="10"/>
        <v>0.91800000000000004</v>
      </c>
    </row>
    <row r="29" spans="1:8" x14ac:dyDescent="0.3">
      <c r="A29" s="5" t="s">
        <v>11</v>
      </c>
      <c r="B29" s="5">
        <v>1.2546006000000001</v>
      </c>
      <c r="C29" s="5">
        <v>1.7442002000000001</v>
      </c>
      <c r="D29" s="6">
        <f t="shared" si="8"/>
        <v>0.39024339698227467</v>
      </c>
      <c r="E29" s="5">
        <v>0.81</v>
      </c>
      <c r="F29" s="6">
        <f t="shared" si="9"/>
        <v>-0.53560376842062052</v>
      </c>
      <c r="G29" s="7"/>
      <c r="H29" s="5">
        <f t="shared" si="10"/>
        <v>0.81</v>
      </c>
    </row>
    <row r="30" spans="1:8" x14ac:dyDescent="0.3">
      <c r="A30" s="5" t="s">
        <v>8</v>
      </c>
      <c r="B30" s="5">
        <v>1.239482</v>
      </c>
      <c r="C30" s="5">
        <v>0.89863999999999999</v>
      </c>
      <c r="D30" s="6">
        <f t="shared" si="8"/>
        <v>-0.27498745443661143</v>
      </c>
      <c r="E30" s="5">
        <v>0.33911999999999998</v>
      </c>
      <c r="F30" s="7"/>
      <c r="G30" s="7"/>
      <c r="H30" s="5">
        <f t="shared" si="10"/>
        <v>0.33911999999999998</v>
      </c>
    </row>
    <row r="31" spans="1:8" x14ac:dyDescent="0.3">
      <c r="A31" s="5" t="s">
        <v>22</v>
      </c>
      <c r="B31" s="5">
        <v>1.2985305999999999</v>
      </c>
      <c r="C31" s="5">
        <v>9.8820000000000005E-2</v>
      </c>
      <c r="D31" s="6">
        <f t="shared" si="8"/>
        <v>-0.92389859738384295</v>
      </c>
      <c r="E31" s="5">
        <v>0.13175999999999999</v>
      </c>
      <c r="F31" s="7"/>
      <c r="G31" s="7"/>
      <c r="H31" s="5">
        <f t="shared" si="10"/>
        <v>0.13175999999999999</v>
      </c>
    </row>
    <row r="32" spans="1:8" x14ac:dyDescent="0.3">
      <c r="A32" s="5" t="s">
        <v>23</v>
      </c>
      <c r="B32" s="5">
        <v>0.95616060000000003</v>
      </c>
      <c r="C32" s="5">
        <v>0.29952000000000001</v>
      </c>
      <c r="D32" s="6">
        <f t="shared" si="8"/>
        <v>-0.68674718452109407</v>
      </c>
      <c r="E32" s="5">
        <v>0</v>
      </c>
      <c r="F32" s="7"/>
      <c r="G32" s="7"/>
      <c r="H32" s="5">
        <f t="shared" si="10"/>
        <v>0</v>
      </c>
    </row>
    <row r="33" spans="1:8" x14ac:dyDescent="0.3">
      <c r="A33" s="15" t="s">
        <v>1</v>
      </c>
      <c r="B33" s="15">
        <v>29.335416800000001</v>
      </c>
      <c r="C33" s="15">
        <v>34.187705600000001</v>
      </c>
      <c r="D33" s="16">
        <f t="shared" si="8"/>
        <v>0.16540718794218734</v>
      </c>
      <c r="E33" s="15">
        <v>17.132356400000003</v>
      </c>
      <c r="F33" s="16">
        <f>(E33-C33)/C33</f>
        <v>-0.49887375887547125</v>
      </c>
      <c r="G33" s="17"/>
      <c r="H33" s="15">
        <f t="shared" si="10"/>
        <v>17.132356400000003</v>
      </c>
    </row>
    <row r="35" spans="1:8" x14ac:dyDescent="0.3">
      <c r="A35" s="10" t="s">
        <v>39</v>
      </c>
    </row>
    <row r="36" spans="1:8" x14ac:dyDescent="0.3">
      <c r="A36" s="4" t="s">
        <v>0</v>
      </c>
      <c r="B36" s="4" t="s">
        <v>41</v>
      </c>
      <c r="C36" s="4" t="s">
        <v>42</v>
      </c>
      <c r="D36" s="4" t="s">
        <v>33</v>
      </c>
      <c r="E36" s="4" t="s">
        <v>44</v>
      </c>
      <c r="F36" s="4" t="s">
        <v>34</v>
      </c>
      <c r="G36" s="4" t="s">
        <v>31</v>
      </c>
      <c r="H36" s="4" t="s">
        <v>32</v>
      </c>
    </row>
    <row r="37" spans="1:8" x14ac:dyDescent="0.3">
      <c r="A37" s="5" t="s">
        <v>26</v>
      </c>
      <c r="B37" s="5">
        <v>65.638420599999989</v>
      </c>
      <c r="C37" s="5">
        <v>58.369548299999998</v>
      </c>
      <c r="D37" s="6">
        <f t="shared" ref="D37:D39" si="11">(C37-B37)/B37</f>
        <v>-0.11074112133648738</v>
      </c>
      <c r="E37" s="5">
        <v>84.572713299999975</v>
      </c>
      <c r="F37" s="6">
        <f t="shared" ref="F37:F39" si="12">(E37-C37)/C37</f>
        <v>0.44891841316510545</v>
      </c>
      <c r="G37" s="7"/>
      <c r="H37" s="5">
        <f>G37+E37</f>
        <v>84.572713299999975</v>
      </c>
    </row>
    <row r="38" spans="1:8" x14ac:dyDescent="0.3">
      <c r="A38" s="5" t="s">
        <v>19</v>
      </c>
      <c r="B38" s="5">
        <v>2.8750800000000001</v>
      </c>
      <c r="C38" s="5">
        <v>1.1658388</v>
      </c>
      <c r="D38" s="6">
        <f t="shared" si="11"/>
        <v>-0.59450213559274878</v>
      </c>
      <c r="E38" s="5">
        <v>0.28575590000000006</v>
      </c>
      <c r="F38" s="6">
        <f t="shared" si="12"/>
        <v>-0.75489244310619952</v>
      </c>
      <c r="G38" s="7"/>
      <c r="H38" s="5">
        <f>G38+E38</f>
        <v>0.28575590000000006</v>
      </c>
    </row>
    <row r="39" spans="1:8" x14ac:dyDescent="0.3">
      <c r="A39" s="15" t="s">
        <v>1</v>
      </c>
      <c r="B39" s="15">
        <v>68.5135006</v>
      </c>
      <c r="C39" s="15">
        <v>59.535387100000001</v>
      </c>
      <c r="D39" s="16">
        <f t="shared" si="11"/>
        <v>-0.1310415235154398</v>
      </c>
      <c r="E39" s="15">
        <v>84.858469199999988</v>
      </c>
      <c r="F39" s="16">
        <f t="shared" si="12"/>
        <v>0.42534504827297892</v>
      </c>
      <c r="G39" s="17"/>
      <c r="H39" s="15">
        <f>G39+E39</f>
        <v>84.858469199999988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AEA2-A186-49C9-A8E6-BD70F079335F}">
  <dimension ref="A1:J47"/>
  <sheetViews>
    <sheetView workbookViewId="0">
      <selection activeCell="F10" sqref="F10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9.0390974000000011</v>
      </c>
      <c r="C2" s="5">
        <v>19.562580000000001</v>
      </c>
      <c r="D2" s="6">
        <f>(C2-B2)/B2</f>
        <v>1.1642182990527348</v>
      </c>
      <c r="E2" s="5">
        <v>25.7908075</v>
      </c>
      <c r="F2" s="6">
        <f>(E2-C2)/C2</f>
        <v>0.31837454466639875</v>
      </c>
      <c r="G2" s="7"/>
      <c r="H2" s="5">
        <f>G2+E2</f>
        <v>25.7908075</v>
      </c>
      <c r="J2">
        <v>100000</v>
      </c>
    </row>
    <row r="3" spans="1:10" x14ac:dyDescent="0.3">
      <c r="A3" s="5" t="s">
        <v>10</v>
      </c>
      <c r="B3" s="5">
        <v>16.631937900000004</v>
      </c>
      <c r="C3" s="5">
        <v>27.211887599999997</v>
      </c>
      <c r="D3" s="6">
        <f t="shared" ref="D3:D6" si="0">(C3-B3)/B3</f>
        <v>0.63612248696527363</v>
      </c>
      <c r="E3" s="5">
        <v>17.532970000000002</v>
      </c>
      <c r="F3" s="6">
        <f t="shared" ref="F3:F6" si="1">(E3-C3)/C3</f>
        <v>-0.35568710786531382</v>
      </c>
      <c r="G3" s="7"/>
      <c r="H3" s="5">
        <f>G3+E3</f>
        <v>17.532970000000002</v>
      </c>
    </row>
    <row r="4" spans="1:10" x14ac:dyDescent="0.3">
      <c r="A4" s="5" t="s">
        <v>25</v>
      </c>
      <c r="B4" s="5">
        <v>5.3534992999999993</v>
      </c>
      <c r="C4" s="5">
        <v>6.9874999999999998</v>
      </c>
      <c r="D4" s="6">
        <f t="shared" si="0"/>
        <v>0.30522105419907325</v>
      </c>
      <c r="E4" s="5">
        <v>11.221260300000003</v>
      </c>
      <c r="F4" s="6">
        <f t="shared" si="1"/>
        <v>0.60590487298747808</v>
      </c>
      <c r="G4" s="7"/>
      <c r="H4" s="5">
        <f>G4+E4</f>
        <v>11.221260300000003</v>
      </c>
    </row>
    <row r="5" spans="1:10" x14ac:dyDescent="0.3">
      <c r="A5" s="5" t="s">
        <v>2</v>
      </c>
      <c r="B5" s="5">
        <v>31.7005154</v>
      </c>
      <c r="C5" s="5">
        <v>46.375612400000001</v>
      </c>
      <c r="D5" s="6">
        <f t="shared" si="0"/>
        <v>0.4629292872632601</v>
      </c>
      <c r="E5" s="5">
        <v>2.5708522000000031</v>
      </c>
      <c r="F5" s="6">
        <f t="shared" si="1"/>
        <v>-0.94456456600883609</v>
      </c>
      <c r="G5" s="7"/>
      <c r="H5" s="5">
        <f>G5+E5</f>
        <v>2.5708522000000031</v>
      </c>
    </row>
    <row r="6" spans="1:10" x14ac:dyDescent="0.3">
      <c r="A6" s="15" t="s">
        <v>1</v>
      </c>
      <c r="B6" s="15">
        <v>62.725050000000003</v>
      </c>
      <c r="C6" s="15">
        <v>100.13758</v>
      </c>
      <c r="D6" s="16">
        <f t="shared" si="0"/>
        <v>0.5964527728555018</v>
      </c>
      <c r="E6" s="15">
        <v>57.115890000000007</v>
      </c>
      <c r="F6" s="16">
        <f t="shared" si="1"/>
        <v>-0.42962582079574912</v>
      </c>
      <c r="G6" s="17"/>
      <c r="H6" s="15">
        <f>G6+E6</f>
        <v>57.115890000000007</v>
      </c>
    </row>
    <row r="8" spans="1:10" x14ac:dyDescent="0.3">
      <c r="A8" s="10" t="s">
        <v>37</v>
      </c>
    </row>
    <row r="9" spans="1:10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0" x14ac:dyDescent="0.3">
      <c r="A10" s="5" t="s">
        <v>4</v>
      </c>
      <c r="B10" s="5">
        <v>6.4685584000000009</v>
      </c>
      <c r="C10" s="5">
        <v>14.3343165</v>
      </c>
      <c r="D10" s="6">
        <f t="shared" ref="D10:D12" si="2">(C10-B10)/B10</f>
        <v>1.2159986218876833</v>
      </c>
      <c r="E10" s="5">
        <v>4.3139289999999999</v>
      </c>
      <c r="F10" s="6">
        <f t="shared" ref="F10:F15" si="3">(E10-C10)/C10</f>
        <v>-0.69904885245138826</v>
      </c>
      <c r="G10" s="7"/>
      <c r="H10" s="5">
        <f t="shared" ref="H10:H24" si="4">G10+E10</f>
        <v>4.3139289999999999</v>
      </c>
    </row>
    <row r="11" spans="1:10" x14ac:dyDescent="0.3">
      <c r="A11" s="5" t="s">
        <v>16</v>
      </c>
      <c r="B11" s="5">
        <v>0.4451717</v>
      </c>
      <c r="C11" s="5">
        <v>1.0999964000000002</v>
      </c>
      <c r="D11" s="6">
        <f t="shared" si="2"/>
        <v>1.4709486249912118</v>
      </c>
      <c r="E11" s="5">
        <v>2.1297154999999997</v>
      </c>
      <c r="F11" s="6">
        <f t="shared" si="3"/>
        <v>0.93611133636437283</v>
      </c>
      <c r="G11" s="7"/>
      <c r="H11" s="5">
        <f t="shared" si="4"/>
        <v>2.1297154999999997</v>
      </c>
    </row>
    <row r="12" spans="1:10" x14ac:dyDescent="0.3">
      <c r="A12" s="5" t="s">
        <v>20</v>
      </c>
      <c r="B12" s="5">
        <v>0.46169539999999987</v>
      </c>
      <c r="C12" s="5">
        <v>0.6047629000000001</v>
      </c>
      <c r="D12" s="6">
        <f t="shared" si="2"/>
        <v>0.30987421577083135</v>
      </c>
      <c r="E12" s="5">
        <v>1.5958147999999999</v>
      </c>
      <c r="F12" s="6">
        <f t="shared" si="3"/>
        <v>1.6387445393889069</v>
      </c>
      <c r="G12" s="7"/>
      <c r="H12" s="5">
        <f t="shared" si="4"/>
        <v>1.5958147999999999</v>
      </c>
    </row>
    <row r="13" spans="1:10" x14ac:dyDescent="0.3">
      <c r="A13" s="5" t="s">
        <v>24</v>
      </c>
      <c r="B13" s="5">
        <v>0</v>
      </c>
      <c r="C13" s="5">
        <v>0</v>
      </c>
      <c r="D13" s="5"/>
      <c r="E13" s="5">
        <v>1.5223853000000001</v>
      </c>
      <c r="F13" s="6" t="e">
        <f t="shared" si="3"/>
        <v>#DIV/0!</v>
      </c>
      <c r="G13" s="7"/>
      <c r="H13" s="5">
        <f t="shared" si="4"/>
        <v>1.5223853000000001</v>
      </c>
    </row>
    <row r="14" spans="1:10" x14ac:dyDescent="0.3">
      <c r="A14" s="5" t="s">
        <v>3</v>
      </c>
      <c r="B14" s="5">
        <v>0.65933849999999994</v>
      </c>
      <c r="C14" s="5">
        <v>0.61845419999999995</v>
      </c>
      <c r="D14" s="6">
        <f t="shared" ref="D14:D15" si="5">(C14-B14)/B14</f>
        <v>-6.2008058076390184E-2</v>
      </c>
      <c r="E14" s="5">
        <v>0.83975479999999991</v>
      </c>
      <c r="F14" s="6">
        <f t="shared" si="3"/>
        <v>0.35782859911049192</v>
      </c>
      <c r="G14" s="7"/>
      <c r="H14" s="5">
        <f t="shared" si="4"/>
        <v>0.83975479999999991</v>
      </c>
    </row>
    <row r="15" spans="1:10" x14ac:dyDescent="0.3">
      <c r="A15" s="5" t="s">
        <v>12</v>
      </c>
      <c r="B15" s="5">
        <v>8.3603111000000006</v>
      </c>
      <c r="C15" s="5">
        <v>6.6184759999999985</v>
      </c>
      <c r="D15" s="6">
        <f t="shared" si="5"/>
        <v>-0.20834572770862581</v>
      </c>
      <c r="E15" s="5">
        <v>0.57391450000000022</v>
      </c>
      <c r="F15" s="6">
        <f t="shared" si="3"/>
        <v>-0.91328600421003259</v>
      </c>
      <c r="G15" s="7"/>
      <c r="H15" s="5">
        <f t="shared" si="4"/>
        <v>0.57391450000000022</v>
      </c>
    </row>
    <row r="16" spans="1:10" x14ac:dyDescent="0.3">
      <c r="A16" s="5" t="s">
        <v>5</v>
      </c>
      <c r="B16" s="5">
        <v>2.2610000000000002E-2</v>
      </c>
      <c r="C16" s="5">
        <v>6.08E-2</v>
      </c>
      <c r="D16" s="5"/>
      <c r="E16" s="5">
        <v>0.32224000000000003</v>
      </c>
      <c r="F16" s="7"/>
      <c r="G16" s="7"/>
      <c r="H16" s="5">
        <f t="shared" si="4"/>
        <v>0.32224000000000003</v>
      </c>
    </row>
    <row r="17" spans="1:8" x14ac:dyDescent="0.3">
      <c r="A17" s="5" t="s">
        <v>7</v>
      </c>
      <c r="B17" s="5">
        <v>0.16727760000000003</v>
      </c>
      <c r="C17" s="5">
        <v>0.17552229999999999</v>
      </c>
      <c r="D17" s="5"/>
      <c r="E17" s="5">
        <v>-2.4737200000000001E-2</v>
      </c>
      <c r="F17" s="7"/>
      <c r="G17" s="7"/>
      <c r="H17" s="5">
        <f t="shared" si="4"/>
        <v>-2.4737200000000001E-2</v>
      </c>
    </row>
    <row r="18" spans="1:8" x14ac:dyDescent="0.3">
      <c r="A18" s="5" t="s">
        <v>21</v>
      </c>
      <c r="B18" s="5">
        <v>-3.7021999999999979E-3</v>
      </c>
      <c r="C18" s="5">
        <v>1.7868412</v>
      </c>
      <c r="D18" s="6">
        <f t="shared" ref="D18:D24" si="6">(C18-B18)/B18</f>
        <v>-483.64307708929852</v>
      </c>
      <c r="E18" s="5">
        <v>-3.3914799999999988E-2</v>
      </c>
      <c r="F18" s="6">
        <f t="shared" ref="F18:F19" si="7">(E18-C18)/C18</f>
        <v>-1.0189803100577712</v>
      </c>
      <c r="G18" s="7"/>
      <c r="H18" s="5">
        <f t="shared" si="4"/>
        <v>-3.3914799999999988E-2</v>
      </c>
    </row>
    <row r="19" spans="1:8" x14ac:dyDescent="0.3">
      <c r="A19" s="5" t="s">
        <v>6</v>
      </c>
      <c r="B19" s="5">
        <v>1.0095723999999997</v>
      </c>
      <c r="C19" s="5">
        <v>1.2461571</v>
      </c>
      <c r="D19" s="6">
        <f t="shared" si="6"/>
        <v>0.23434148952566491</v>
      </c>
      <c r="E19" s="5">
        <v>-0.2541448</v>
      </c>
      <c r="F19" s="6">
        <f t="shared" si="7"/>
        <v>-1.2039428255073137</v>
      </c>
      <c r="G19" s="7"/>
      <c r="H19" s="5">
        <f t="shared" si="4"/>
        <v>-0.2541448</v>
      </c>
    </row>
    <row r="20" spans="1:8" x14ac:dyDescent="0.3">
      <c r="A20" s="5" t="s">
        <v>17</v>
      </c>
      <c r="B20" s="5">
        <v>1.0011604000000003</v>
      </c>
      <c r="C20" s="5">
        <v>-0.36772650000000001</v>
      </c>
      <c r="D20" s="6">
        <f t="shared" si="6"/>
        <v>-1.3673002847495765</v>
      </c>
      <c r="E20" s="5">
        <v>-0.26984059999999999</v>
      </c>
      <c r="F20" s="7"/>
      <c r="G20" s="7"/>
      <c r="H20" s="5">
        <f t="shared" si="4"/>
        <v>-0.26984059999999999</v>
      </c>
    </row>
    <row r="21" spans="1:8" x14ac:dyDescent="0.3">
      <c r="A21" s="5" t="s">
        <v>9</v>
      </c>
      <c r="B21" s="5">
        <v>1.4286170999999999</v>
      </c>
      <c r="C21" s="5">
        <v>4.4184162000000002</v>
      </c>
      <c r="D21" s="6">
        <f t="shared" si="6"/>
        <v>2.0927924634249448</v>
      </c>
      <c r="E21" s="5">
        <v>-0.49171689999999996</v>
      </c>
      <c r="F21" s="7"/>
      <c r="G21" s="7"/>
      <c r="H21" s="5">
        <f t="shared" si="4"/>
        <v>-0.49171689999999996</v>
      </c>
    </row>
    <row r="22" spans="1:8" x14ac:dyDescent="0.3">
      <c r="A22" s="5" t="s">
        <v>13</v>
      </c>
      <c r="B22" s="5">
        <v>0.54935219999999996</v>
      </c>
      <c r="C22" s="5">
        <v>2.6440091000000003</v>
      </c>
      <c r="D22" s="6">
        <f t="shared" si="6"/>
        <v>3.81295806224131</v>
      </c>
      <c r="E22" s="5">
        <v>-0.88031720000000002</v>
      </c>
      <c r="F22" s="6">
        <f t="shared" ref="F22:F24" si="8">(E22-C22)/C22</f>
        <v>-1.3329478707164812</v>
      </c>
      <c r="G22" s="7"/>
      <c r="H22" s="5">
        <f t="shared" si="4"/>
        <v>-0.88031720000000002</v>
      </c>
    </row>
    <row r="23" spans="1:8" x14ac:dyDescent="0.3">
      <c r="A23" s="5" t="s">
        <v>8</v>
      </c>
      <c r="B23" s="5">
        <v>11.130552800000002</v>
      </c>
      <c r="C23" s="5">
        <v>13.135586999999997</v>
      </c>
      <c r="D23" s="6">
        <f t="shared" si="6"/>
        <v>0.18013788138177603</v>
      </c>
      <c r="E23" s="5">
        <v>-6.7722301999999992</v>
      </c>
      <c r="F23" s="6">
        <f t="shared" si="8"/>
        <v>-1.5155635754991383</v>
      </c>
      <c r="G23" s="7"/>
      <c r="H23" s="5">
        <f t="shared" si="4"/>
        <v>-6.7722301999999992</v>
      </c>
    </row>
    <row r="24" spans="1:8" x14ac:dyDescent="0.3">
      <c r="A24" s="15" t="s">
        <v>1</v>
      </c>
      <c r="B24" s="15">
        <v>31.700515399999997</v>
      </c>
      <c r="C24" s="15">
        <v>46.375612400000001</v>
      </c>
      <c r="D24" s="16">
        <f t="shared" si="6"/>
        <v>0.46292928726326027</v>
      </c>
      <c r="E24" s="15">
        <v>2.5708522000000009</v>
      </c>
      <c r="F24" s="16">
        <f t="shared" si="8"/>
        <v>-0.9445645660088362</v>
      </c>
      <c r="G24" s="17"/>
      <c r="H24" s="15">
        <f t="shared" si="4"/>
        <v>2.5708522000000009</v>
      </c>
    </row>
    <row r="26" spans="1:8" x14ac:dyDescent="0.3">
      <c r="A26" s="10" t="s">
        <v>38</v>
      </c>
    </row>
    <row r="27" spans="1:8" x14ac:dyDescent="0.3">
      <c r="A27" s="4" t="s">
        <v>0</v>
      </c>
      <c r="B27" s="4" t="s">
        <v>41</v>
      </c>
      <c r="C27" s="4" t="s">
        <v>42</v>
      </c>
      <c r="D27" s="4" t="s">
        <v>33</v>
      </c>
      <c r="E27" s="4" t="s">
        <v>44</v>
      </c>
      <c r="F27" s="4" t="s">
        <v>34</v>
      </c>
      <c r="G27" s="4" t="s">
        <v>31</v>
      </c>
      <c r="H27" s="4" t="s">
        <v>32</v>
      </c>
    </row>
    <row r="28" spans="1:8" x14ac:dyDescent="0.3">
      <c r="A28" s="5" t="s">
        <v>14</v>
      </c>
      <c r="B28" s="5">
        <v>7.0290076999999993</v>
      </c>
      <c r="C28" s="5">
        <v>13.9729489</v>
      </c>
      <c r="D28" s="6">
        <f t="shared" ref="D28:D35" si="9">(C28-B28)/B28</f>
        <v>0.98789779388063581</v>
      </c>
      <c r="E28" s="5">
        <v>11.3616124</v>
      </c>
      <c r="F28" s="6">
        <f t="shared" ref="F28:F32" si="10">(E28-C28)/C28</f>
        <v>-0.18688513918490035</v>
      </c>
      <c r="G28" s="7"/>
      <c r="H28" s="5">
        <f t="shared" ref="H28:H35" si="11">G28+E28</f>
        <v>11.3616124</v>
      </c>
    </row>
    <row r="29" spans="1:8" x14ac:dyDescent="0.3">
      <c r="A29" s="5" t="s">
        <v>22</v>
      </c>
      <c r="B29" s="5">
        <v>1.1516741000000001</v>
      </c>
      <c r="C29" s="5">
        <v>1.9221938000000001</v>
      </c>
      <c r="D29" s="6">
        <f t="shared" si="9"/>
        <v>0.6690431781004712</v>
      </c>
      <c r="E29" s="5">
        <v>2.1895647</v>
      </c>
      <c r="F29" s="6">
        <f t="shared" si="10"/>
        <v>0.13909674456342538</v>
      </c>
      <c r="G29" s="7"/>
      <c r="H29" s="5">
        <f t="shared" si="11"/>
        <v>2.1895647</v>
      </c>
    </row>
    <row r="30" spans="1:8" x14ac:dyDescent="0.3">
      <c r="A30" s="5" t="s">
        <v>11</v>
      </c>
      <c r="B30" s="5">
        <v>1.2618011</v>
      </c>
      <c r="C30" s="5">
        <v>2.2680023999999999</v>
      </c>
      <c r="D30" s="6">
        <f t="shared" si="9"/>
        <v>0.79743257475365958</v>
      </c>
      <c r="E30" s="5">
        <v>1.6524066999999998</v>
      </c>
      <c r="F30" s="6">
        <f t="shared" si="10"/>
        <v>-0.2714263882613176</v>
      </c>
      <c r="G30" s="7"/>
      <c r="H30" s="5">
        <f t="shared" si="11"/>
        <v>1.6524066999999998</v>
      </c>
    </row>
    <row r="31" spans="1:8" x14ac:dyDescent="0.3">
      <c r="A31" s="5" t="s">
        <v>4</v>
      </c>
      <c r="B31" s="5">
        <v>1.9702526</v>
      </c>
      <c r="C31" s="5">
        <v>2.8513367000000001</v>
      </c>
      <c r="D31" s="6">
        <f t="shared" si="9"/>
        <v>0.44719347153760897</v>
      </c>
      <c r="E31" s="5">
        <v>1.1154648</v>
      </c>
      <c r="F31" s="6">
        <f t="shared" si="10"/>
        <v>-0.60879232536795813</v>
      </c>
      <c r="G31" s="7"/>
      <c r="H31" s="5">
        <f t="shared" si="11"/>
        <v>1.1154648</v>
      </c>
    </row>
    <row r="32" spans="1:8" x14ac:dyDescent="0.3">
      <c r="A32" s="5" t="s">
        <v>5</v>
      </c>
      <c r="B32" s="5">
        <v>0.92790229999999996</v>
      </c>
      <c r="C32" s="5">
        <v>1.8311389999999999</v>
      </c>
      <c r="D32" s="6">
        <f t="shared" si="9"/>
        <v>0.97341789108616272</v>
      </c>
      <c r="E32" s="5">
        <v>1.0443613999999999</v>
      </c>
      <c r="F32" s="6">
        <f t="shared" si="10"/>
        <v>-0.42966568895097534</v>
      </c>
      <c r="G32" s="7"/>
      <c r="H32" s="5">
        <f t="shared" si="11"/>
        <v>1.0443613999999999</v>
      </c>
    </row>
    <row r="33" spans="1:8" x14ac:dyDescent="0.3">
      <c r="A33" s="5" t="s">
        <v>8</v>
      </c>
      <c r="B33" s="5">
        <v>3.7370801</v>
      </c>
      <c r="C33" s="5">
        <v>4.2971468000000002</v>
      </c>
      <c r="D33" s="6">
        <f t="shared" si="9"/>
        <v>0.14986745935683854</v>
      </c>
      <c r="E33" s="5">
        <v>0.16955999999999999</v>
      </c>
      <c r="F33" s="6">
        <f>(E33-C33)/C33</f>
        <v>-0.96054125960974857</v>
      </c>
      <c r="G33" s="7"/>
      <c r="H33" s="5">
        <f t="shared" si="11"/>
        <v>0.16955999999999999</v>
      </c>
    </row>
    <row r="34" spans="1:8" x14ac:dyDescent="0.3">
      <c r="A34" s="5" t="s">
        <v>23</v>
      </c>
      <c r="B34" s="5">
        <v>0.55422000000000005</v>
      </c>
      <c r="C34" s="5">
        <v>6.9120000000000001E-2</v>
      </c>
      <c r="D34" s="6">
        <f t="shared" si="9"/>
        <v>-0.87528418317635592</v>
      </c>
      <c r="E34" s="5">
        <v>0</v>
      </c>
      <c r="F34" s="7"/>
      <c r="G34" s="7"/>
      <c r="H34" s="5">
        <f t="shared" si="11"/>
        <v>0</v>
      </c>
    </row>
    <row r="35" spans="1:8" x14ac:dyDescent="0.3">
      <c r="A35" s="15" t="s">
        <v>1</v>
      </c>
      <c r="B35" s="15">
        <v>16.6319379</v>
      </c>
      <c r="C35" s="15">
        <v>27.211887599999997</v>
      </c>
      <c r="D35" s="16">
        <f t="shared" si="9"/>
        <v>0.63612248696527396</v>
      </c>
      <c r="E35" s="15">
        <v>17.532969999999999</v>
      </c>
      <c r="F35" s="16">
        <f>(E35-C35)/C35</f>
        <v>-0.35568710786531393</v>
      </c>
      <c r="G35" s="17"/>
      <c r="H35" s="15">
        <f t="shared" si="11"/>
        <v>17.532969999999999</v>
      </c>
    </row>
    <row r="37" spans="1:8" x14ac:dyDescent="0.3">
      <c r="A37" s="10" t="s">
        <v>39</v>
      </c>
    </row>
    <row r="38" spans="1:8" x14ac:dyDescent="0.3">
      <c r="A38" s="4" t="s">
        <v>0</v>
      </c>
      <c r="B38" s="4" t="s">
        <v>41</v>
      </c>
      <c r="C38" s="4" t="s">
        <v>42</v>
      </c>
      <c r="D38" s="4" t="s">
        <v>33</v>
      </c>
      <c r="E38" s="4" t="s">
        <v>44</v>
      </c>
      <c r="F38" s="4" t="s">
        <v>34</v>
      </c>
      <c r="G38" s="4" t="s">
        <v>31</v>
      </c>
      <c r="H38" s="4" t="s">
        <v>32</v>
      </c>
    </row>
    <row r="39" spans="1:8" x14ac:dyDescent="0.3">
      <c r="A39" s="5" t="s">
        <v>26</v>
      </c>
      <c r="B39" s="5">
        <v>5.3143332000000028</v>
      </c>
      <c r="C39" s="5">
        <v>15.340018599999999</v>
      </c>
      <c r="D39" s="6">
        <f t="shared" ref="D39:D40" si="12">(C39-B39)/B39</f>
        <v>1.8865368471815038</v>
      </c>
      <c r="E39" s="5">
        <v>16.39432</v>
      </c>
      <c r="F39" s="6">
        <f t="shared" ref="F39:F42" si="13">(E39-C39)/C39</f>
        <v>6.8728821489173544E-2</v>
      </c>
      <c r="G39" s="7"/>
      <c r="H39" s="5">
        <f>G39+E39</f>
        <v>16.39432</v>
      </c>
    </row>
    <row r="40" spans="1:8" x14ac:dyDescent="0.3">
      <c r="A40" s="5" t="s">
        <v>19</v>
      </c>
      <c r="B40" s="5">
        <v>3.7247641999999996</v>
      </c>
      <c r="C40" s="5">
        <v>4.2225614</v>
      </c>
      <c r="D40" s="6">
        <f t="shared" si="12"/>
        <v>0.13364529223084792</v>
      </c>
      <c r="E40" s="5">
        <v>6.7031999999999998</v>
      </c>
      <c r="F40" s="6">
        <f t="shared" si="13"/>
        <v>0.58747247582948103</v>
      </c>
      <c r="G40" s="7"/>
      <c r="H40" s="5">
        <f>G40+E40</f>
        <v>6.7031999999999998</v>
      </c>
    </row>
    <row r="41" spans="1:8" x14ac:dyDescent="0.3">
      <c r="A41" s="5" t="s">
        <v>30</v>
      </c>
      <c r="B41" s="5">
        <v>0</v>
      </c>
      <c r="C41" s="5">
        <v>0</v>
      </c>
      <c r="D41" s="5"/>
      <c r="E41" s="5">
        <v>2.6932874999999998</v>
      </c>
      <c r="F41" s="6" t="e">
        <f t="shared" si="13"/>
        <v>#DIV/0!</v>
      </c>
      <c r="G41" s="7"/>
      <c r="H41" s="5">
        <f>G41+E41</f>
        <v>2.6932874999999998</v>
      </c>
    </row>
    <row r="42" spans="1:8" x14ac:dyDescent="0.3">
      <c r="A42" s="15" t="s">
        <v>1</v>
      </c>
      <c r="B42" s="15">
        <v>9.0390974000000028</v>
      </c>
      <c r="C42" s="15">
        <v>19.562580000000001</v>
      </c>
      <c r="D42" s="16">
        <f>(C42-B42)/B42</f>
        <v>1.1642182990527346</v>
      </c>
      <c r="E42" s="15">
        <v>25.7908075</v>
      </c>
      <c r="F42" s="16">
        <f t="shared" si="13"/>
        <v>0.31837454466639875</v>
      </c>
      <c r="G42" s="17"/>
      <c r="H42" s="15">
        <f>G42+E42</f>
        <v>25.7908075</v>
      </c>
    </row>
    <row r="43" spans="1:8" x14ac:dyDescent="0.3">
      <c r="A43" s="1"/>
      <c r="B43" s="1"/>
      <c r="C43" s="1"/>
      <c r="D43" s="3"/>
      <c r="E43" s="1"/>
      <c r="F43" s="3"/>
      <c r="H43" s="14"/>
    </row>
    <row r="44" spans="1:8" x14ac:dyDescent="0.3">
      <c r="A44" s="12" t="s">
        <v>40</v>
      </c>
    </row>
    <row r="45" spans="1:8" x14ac:dyDescent="0.3">
      <c r="A45" s="4" t="s">
        <v>0</v>
      </c>
      <c r="B45" s="4" t="s">
        <v>41</v>
      </c>
      <c r="C45" s="4" t="s">
        <v>42</v>
      </c>
      <c r="D45" s="4" t="s">
        <v>33</v>
      </c>
      <c r="E45" s="4" t="s">
        <v>44</v>
      </c>
      <c r="F45" s="4" t="s">
        <v>34</v>
      </c>
      <c r="G45" s="4" t="s">
        <v>31</v>
      </c>
      <c r="H45" s="4" t="s">
        <v>32</v>
      </c>
    </row>
    <row r="46" spans="1:8" x14ac:dyDescent="0.3">
      <c r="A46" s="5" t="s">
        <v>28</v>
      </c>
      <c r="B46" s="5">
        <v>5.3534992999999993</v>
      </c>
      <c r="C46" s="5">
        <v>6.9874999999999998</v>
      </c>
      <c r="D46" s="6">
        <f t="shared" ref="D46:D47" si="14">(C46-B46)/B46</f>
        <v>0.30522105419907325</v>
      </c>
      <c r="E46" s="5">
        <v>11.221260300000003</v>
      </c>
      <c r="F46" s="6">
        <f t="shared" ref="F46:F47" si="15">(E46-C46)/C46</f>
        <v>0.60590487298747808</v>
      </c>
      <c r="G46" s="7"/>
      <c r="H46" s="5">
        <f>G46+E46</f>
        <v>11.221260300000003</v>
      </c>
    </row>
    <row r="47" spans="1:8" x14ac:dyDescent="0.3">
      <c r="A47" s="15" t="s">
        <v>1</v>
      </c>
      <c r="B47" s="15">
        <v>5.3534992999999993</v>
      </c>
      <c r="C47" s="15">
        <v>6.9874999999999998</v>
      </c>
      <c r="D47" s="16">
        <f t="shared" si="14"/>
        <v>0.30522105419907325</v>
      </c>
      <c r="E47" s="15">
        <v>11.221260300000003</v>
      </c>
      <c r="F47" s="16">
        <f t="shared" si="15"/>
        <v>0.60590487298747808</v>
      </c>
      <c r="G47" s="17"/>
      <c r="H47" s="15">
        <f>G47+E47</f>
        <v>11.221260300000003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3DC6-F8AB-40C1-997B-1F3AAD0AD9DC}">
  <dimension ref="A1:K47"/>
  <sheetViews>
    <sheetView workbookViewId="0">
      <selection activeCell="G40" sqref="G40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1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1" x14ac:dyDescent="0.3">
      <c r="A2" s="5" t="s">
        <v>18</v>
      </c>
      <c r="B2" s="5">
        <v>214.86284240000003</v>
      </c>
      <c r="C2" s="5">
        <v>408.96375230000007</v>
      </c>
      <c r="D2" s="6">
        <f>(C2-B2)/B2</f>
        <v>0.90337122850982077</v>
      </c>
      <c r="E2" s="5">
        <v>474.26589850000011</v>
      </c>
      <c r="F2" s="6">
        <f>(E2-C2)/C2</f>
        <v>0.1596771005565718</v>
      </c>
      <c r="G2" s="7"/>
      <c r="H2" s="5">
        <f>G2+E2</f>
        <v>474.26589850000011</v>
      </c>
      <c r="K2">
        <v>100000</v>
      </c>
    </row>
    <row r="3" spans="1:11" x14ac:dyDescent="0.3">
      <c r="A3" s="5" t="s">
        <v>2</v>
      </c>
      <c r="B3" s="5">
        <v>46.232300099999996</v>
      </c>
      <c r="C3" s="5">
        <v>51.236027199999988</v>
      </c>
      <c r="D3" s="6">
        <f t="shared" ref="D3:D6" si="0">(C3-B3)/B3</f>
        <v>0.10823011377709915</v>
      </c>
      <c r="E3" s="5">
        <v>96.635179899999912</v>
      </c>
      <c r="F3" s="6">
        <f t="shared" ref="F3:F6" si="1">(E3-C3)/C3</f>
        <v>0.88607870635215713</v>
      </c>
      <c r="G3" s="7"/>
      <c r="H3" s="5">
        <f>G3+E3</f>
        <v>96.635179899999912</v>
      </c>
    </row>
    <row r="4" spans="1:11" x14ac:dyDescent="0.3">
      <c r="A4" s="5" t="s">
        <v>10</v>
      </c>
      <c r="B4" s="5">
        <v>12.507396400000003</v>
      </c>
      <c r="C4" s="5">
        <v>22.589910699999983</v>
      </c>
      <c r="D4" s="6">
        <f t="shared" si="0"/>
        <v>0.80612415066655907</v>
      </c>
      <c r="E4" s="5">
        <v>14.604571600000002</v>
      </c>
      <c r="F4" s="6">
        <f t="shared" si="1"/>
        <v>-0.35349139737856455</v>
      </c>
      <c r="G4" s="7"/>
      <c r="H4" s="5">
        <f>G4+E4</f>
        <v>14.604571600000002</v>
      </c>
    </row>
    <row r="5" spans="1:11" x14ac:dyDescent="0.3">
      <c r="A5" s="5" t="s">
        <v>25</v>
      </c>
      <c r="B5" s="5">
        <v>9.6234010999999988</v>
      </c>
      <c r="C5" s="5">
        <v>12.2545898</v>
      </c>
      <c r="D5" s="6">
        <f t="shared" si="0"/>
        <v>0.27341567421522117</v>
      </c>
      <c r="E5" s="5">
        <v>5.7904</v>
      </c>
      <c r="F5" s="6">
        <f t="shared" si="1"/>
        <v>-0.52749132410780486</v>
      </c>
      <c r="G5" s="7"/>
      <c r="H5" s="5">
        <f>G5+E5</f>
        <v>5.7904</v>
      </c>
    </row>
    <row r="6" spans="1:11" x14ac:dyDescent="0.3">
      <c r="A6" s="15" t="s">
        <v>1</v>
      </c>
      <c r="B6" s="15">
        <v>283.22593999999998</v>
      </c>
      <c r="C6" s="15">
        <v>495.04428000000001</v>
      </c>
      <c r="D6" s="16">
        <f t="shared" si="0"/>
        <v>0.74787761318754931</v>
      </c>
      <c r="E6" s="15">
        <v>591.29605000000004</v>
      </c>
      <c r="F6" s="16">
        <f t="shared" si="1"/>
        <v>0.19443062749861492</v>
      </c>
      <c r="G6" s="17"/>
      <c r="H6" s="15">
        <f>G6+E6</f>
        <v>591.29605000000004</v>
      </c>
    </row>
    <row r="8" spans="1:11" x14ac:dyDescent="0.3">
      <c r="A8" s="10" t="s">
        <v>37</v>
      </c>
    </row>
    <row r="9" spans="1:11" x14ac:dyDescent="0.3">
      <c r="A9" s="4" t="s">
        <v>0</v>
      </c>
      <c r="B9" s="4" t="s">
        <v>41</v>
      </c>
      <c r="C9" s="4" t="s">
        <v>42</v>
      </c>
      <c r="D9" s="4" t="s">
        <v>33</v>
      </c>
      <c r="E9" s="4" t="s">
        <v>44</v>
      </c>
      <c r="F9" s="4" t="s">
        <v>34</v>
      </c>
      <c r="G9" s="4" t="s">
        <v>31</v>
      </c>
      <c r="H9" s="4" t="s">
        <v>32</v>
      </c>
    </row>
    <row r="10" spans="1:11" x14ac:dyDescent="0.3">
      <c r="A10" s="5" t="s">
        <v>4</v>
      </c>
      <c r="B10" s="5">
        <v>18.718672900000001</v>
      </c>
      <c r="C10" s="5">
        <v>29.903817499999999</v>
      </c>
      <c r="D10" s="6">
        <f t="shared" ref="D10:D16" si="2">(C10-B10)/B10</f>
        <v>0.59753940141771467</v>
      </c>
      <c r="E10" s="5">
        <v>57.109053199999991</v>
      </c>
      <c r="F10" s="6">
        <f t="shared" ref="F10:F18" si="3">(E10-C10)/C10</f>
        <v>0.90975794980022173</v>
      </c>
      <c r="G10" s="7"/>
      <c r="H10" s="5">
        <f t="shared" ref="H10:H23" si="4">G10+E10</f>
        <v>57.109053199999991</v>
      </c>
    </row>
    <row r="11" spans="1:11" x14ac:dyDescent="0.3">
      <c r="A11" s="5" t="s">
        <v>12</v>
      </c>
      <c r="B11" s="5">
        <v>8.7873202000000017</v>
      </c>
      <c r="C11" s="5">
        <v>5.9607609999999989</v>
      </c>
      <c r="D11" s="6">
        <f t="shared" si="2"/>
        <v>-0.32166338948249573</v>
      </c>
      <c r="E11" s="5">
        <v>10.471505199999999</v>
      </c>
      <c r="F11" s="6">
        <f t="shared" si="3"/>
        <v>0.75673965119554387</v>
      </c>
      <c r="G11" s="7"/>
      <c r="H11" s="5">
        <f t="shared" si="4"/>
        <v>10.471505199999999</v>
      </c>
    </row>
    <row r="12" spans="1:11" x14ac:dyDescent="0.3">
      <c r="A12" s="5" t="s">
        <v>5</v>
      </c>
      <c r="B12" s="5">
        <v>2.2681635</v>
      </c>
      <c r="C12" s="5">
        <v>5.1065573999999998</v>
      </c>
      <c r="D12" s="6">
        <f t="shared" si="2"/>
        <v>1.2514062147636182</v>
      </c>
      <c r="E12" s="5">
        <v>9.5739426000000005</v>
      </c>
      <c r="F12" s="6">
        <f t="shared" si="3"/>
        <v>0.87483305288999613</v>
      </c>
      <c r="G12" s="7"/>
      <c r="H12" s="5">
        <f t="shared" si="4"/>
        <v>9.5739426000000005</v>
      </c>
    </row>
    <row r="13" spans="1:11" x14ac:dyDescent="0.3">
      <c r="A13" s="5" t="s">
        <v>8</v>
      </c>
      <c r="B13" s="5">
        <v>8.8747862999999985</v>
      </c>
      <c r="C13" s="5">
        <v>4.5934016</v>
      </c>
      <c r="D13" s="6">
        <f t="shared" si="2"/>
        <v>-0.48242115981992706</v>
      </c>
      <c r="E13" s="5">
        <v>7.6539685999999998</v>
      </c>
      <c r="F13" s="6">
        <f t="shared" si="3"/>
        <v>0.66629641092126579</v>
      </c>
      <c r="G13" s="7"/>
      <c r="H13" s="5">
        <f t="shared" si="4"/>
        <v>7.6539685999999998</v>
      </c>
    </row>
    <row r="14" spans="1:11" x14ac:dyDescent="0.3">
      <c r="A14" s="5" t="s">
        <v>9</v>
      </c>
      <c r="B14" s="5">
        <v>2.2270216999999999</v>
      </c>
      <c r="C14" s="5">
        <v>1.1830327999999999</v>
      </c>
      <c r="D14" s="6">
        <f t="shared" si="2"/>
        <v>-0.4687825448669854</v>
      </c>
      <c r="E14" s="5">
        <v>4.4262005000000002</v>
      </c>
      <c r="F14" s="6">
        <f t="shared" si="3"/>
        <v>2.7414013373086532</v>
      </c>
      <c r="G14" s="7"/>
      <c r="H14" s="5">
        <f t="shared" si="4"/>
        <v>4.4262005000000002</v>
      </c>
    </row>
    <row r="15" spans="1:11" x14ac:dyDescent="0.3">
      <c r="A15" s="5" t="s">
        <v>20</v>
      </c>
      <c r="B15" s="5">
        <v>1.9256202</v>
      </c>
      <c r="C15" s="5">
        <v>1.7900401000000006</v>
      </c>
      <c r="D15" s="6">
        <f t="shared" si="2"/>
        <v>-7.0408536428938281E-2</v>
      </c>
      <c r="E15" s="5">
        <v>4.0923162999999994</v>
      </c>
      <c r="F15" s="6">
        <f t="shared" si="3"/>
        <v>1.2861590083931629</v>
      </c>
      <c r="G15" s="7"/>
      <c r="H15" s="5">
        <f t="shared" si="4"/>
        <v>4.0923162999999994</v>
      </c>
    </row>
    <row r="16" spans="1:11" x14ac:dyDescent="0.3">
      <c r="A16" s="5" t="s">
        <v>13</v>
      </c>
      <c r="B16" s="5">
        <v>0.45130299999999995</v>
      </c>
      <c r="C16" s="5">
        <v>1.0243574</v>
      </c>
      <c r="D16" s="6">
        <f t="shared" si="2"/>
        <v>1.2697775108962273</v>
      </c>
      <c r="E16" s="5">
        <v>1.6739991000000001</v>
      </c>
      <c r="F16" s="6">
        <f t="shared" si="3"/>
        <v>0.63419437395580891</v>
      </c>
      <c r="G16" s="7"/>
      <c r="H16" s="5">
        <f t="shared" si="4"/>
        <v>1.6739991000000001</v>
      </c>
    </row>
    <row r="17" spans="1:8" x14ac:dyDescent="0.3">
      <c r="A17" s="5" t="s">
        <v>7</v>
      </c>
      <c r="B17" s="5">
        <v>0.28378219999999998</v>
      </c>
      <c r="C17" s="5">
        <v>0.32738819999999996</v>
      </c>
      <c r="D17" s="5"/>
      <c r="E17" s="5">
        <v>1.1062991</v>
      </c>
      <c r="F17" s="6">
        <f t="shared" si="3"/>
        <v>2.3791660786796842</v>
      </c>
      <c r="G17" s="7"/>
      <c r="H17" s="5">
        <f t="shared" si="4"/>
        <v>1.1062991</v>
      </c>
    </row>
    <row r="18" spans="1:8" x14ac:dyDescent="0.3">
      <c r="A18" s="5" t="s">
        <v>3</v>
      </c>
      <c r="B18" s="5">
        <v>0.58819840000000012</v>
      </c>
      <c r="C18" s="5">
        <v>0.17044409999999988</v>
      </c>
      <c r="D18" s="6">
        <f>(C18-B18)/B18</f>
        <v>-0.71022685542837272</v>
      </c>
      <c r="E18" s="5">
        <v>0.54180050000000002</v>
      </c>
      <c r="F18" s="6">
        <f t="shared" si="3"/>
        <v>2.1787577276068837</v>
      </c>
      <c r="G18" s="7"/>
      <c r="H18" s="5">
        <f t="shared" si="4"/>
        <v>0.54180050000000002</v>
      </c>
    </row>
    <row r="19" spans="1:8" x14ac:dyDescent="0.3">
      <c r="A19" s="5" t="s">
        <v>6</v>
      </c>
      <c r="B19" s="5">
        <v>0.13048459999999998</v>
      </c>
      <c r="C19" s="5">
        <v>0.18203679999999997</v>
      </c>
      <c r="D19" s="5"/>
      <c r="E19" s="5">
        <v>0.27328639999999998</v>
      </c>
      <c r="F19" s="7"/>
      <c r="G19" s="7"/>
      <c r="H19" s="5">
        <f t="shared" si="4"/>
        <v>0.27328639999999998</v>
      </c>
    </row>
    <row r="20" spans="1:8" x14ac:dyDescent="0.3">
      <c r="A20" s="5" t="s">
        <v>21</v>
      </c>
      <c r="B20" s="5">
        <v>5.3590399999999989E-2</v>
      </c>
      <c r="C20" s="5">
        <v>-9.8673999999999915E-3</v>
      </c>
      <c r="D20" s="5"/>
      <c r="E20" s="5">
        <v>0.16784979999999999</v>
      </c>
      <c r="F20" s="7"/>
      <c r="G20" s="7"/>
      <c r="H20" s="5">
        <f t="shared" si="4"/>
        <v>0.16784979999999999</v>
      </c>
    </row>
    <row r="21" spans="1:8" x14ac:dyDescent="0.3">
      <c r="A21" s="5" t="s">
        <v>16</v>
      </c>
      <c r="B21" s="5">
        <v>1.4994078</v>
      </c>
      <c r="C21" s="5">
        <v>0.68749710000000019</v>
      </c>
      <c r="D21" s="6">
        <f>(C21-B21)/B21</f>
        <v>-0.54148757929630609</v>
      </c>
      <c r="E21" s="5">
        <v>5.3459599999999989E-2</v>
      </c>
      <c r="F21" s="7"/>
      <c r="G21" s="7"/>
      <c r="H21" s="5">
        <f t="shared" si="4"/>
        <v>5.3459599999999989E-2</v>
      </c>
    </row>
    <row r="22" spans="1:8" x14ac:dyDescent="0.3">
      <c r="A22" s="5" t="s">
        <v>17</v>
      </c>
      <c r="B22" s="5">
        <v>0.42394890000000002</v>
      </c>
      <c r="C22" s="5">
        <v>0.31656059999999997</v>
      </c>
      <c r="D22" s="5"/>
      <c r="E22" s="5">
        <v>-0.50850099999999998</v>
      </c>
      <c r="F22" s="6">
        <f t="shared" ref="F22:F23" si="5">(E22-C22)/C22</f>
        <v>-2.606330667808944</v>
      </c>
      <c r="G22" s="7"/>
      <c r="H22" s="5">
        <f t="shared" si="4"/>
        <v>-0.50850099999999998</v>
      </c>
    </row>
    <row r="23" spans="1:8" x14ac:dyDescent="0.3">
      <c r="A23" s="15" t="s">
        <v>1</v>
      </c>
      <c r="B23" s="15">
        <v>46.232300099999989</v>
      </c>
      <c r="C23" s="15">
        <v>51.236027199999995</v>
      </c>
      <c r="D23" s="16">
        <f>(C23-B23)/B23</f>
        <v>0.10823011377709947</v>
      </c>
      <c r="E23" s="15">
        <v>96.635179899999997</v>
      </c>
      <c r="F23" s="16">
        <f t="shared" si="5"/>
        <v>0.88607870635215846</v>
      </c>
      <c r="G23" s="17"/>
      <c r="H23" s="15">
        <f t="shared" si="4"/>
        <v>96.635179899999997</v>
      </c>
    </row>
    <row r="25" spans="1:8" x14ac:dyDescent="0.3">
      <c r="A25" s="10" t="s">
        <v>38</v>
      </c>
    </row>
    <row r="26" spans="1:8" x14ac:dyDescent="0.3">
      <c r="A26" s="4" t="s">
        <v>0</v>
      </c>
      <c r="B26" s="4" t="s">
        <v>41</v>
      </c>
      <c r="C26" s="4" t="s">
        <v>42</v>
      </c>
      <c r="D26" s="4" t="s">
        <v>33</v>
      </c>
      <c r="E26" s="4" t="s">
        <v>44</v>
      </c>
      <c r="F26" s="4" t="s">
        <v>34</v>
      </c>
      <c r="G26" s="4" t="s">
        <v>31</v>
      </c>
      <c r="H26" s="4" t="s">
        <v>32</v>
      </c>
    </row>
    <row r="27" spans="1:8" x14ac:dyDescent="0.3">
      <c r="A27" s="5" t="s">
        <v>14</v>
      </c>
      <c r="B27" s="5">
        <v>3.7651222999999998</v>
      </c>
      <c r="C27" s="5">
        <v>11.566305</v>
      </c>
      <c r="D27" s="6">
        <f t="shared" ref="D27:D31" si="6">(C27-B27)/B27</f>
        <v>2.0719599732523961</v>
      </c>
      <c r="E27" s="5">
        <v>6.1357967000000002</v>
      </c>
      <c r="F27" s="6">
        <f t="shared" ref="F27:F31" si="7">(E27-C27)/C27</f>
        <v>-0.46951107549040078</v>
      </c>
      <c r="G27" s="7"/>
      <c r="H27" s="5">
        <f t="shared" ref="H27:H34" si="8">G27+E27</f>
        <v>6.1357967000000002</v>
      </c>
    </row>
    <row r="28" spans="1:8" x14ac:dyDescent="0.3">
      <c r="A28" s="5" t="s">
        <v>11</v>
      </c>
      <c r="B28" s="5">
        <v>5.3289546999999997</v>
      </c>
      <c r="C28" s="5">
        <v>6.6604961999999999</v>
      </c>
      <c r="D28" s="6">
        <f t="shared" si="6"/>
        <v>0.24986917227875857</v>
      </c>
      <c r="E28" s="5">
        <v>3.8348168000000005</v>
      </c>
      <c r="F28" s="6">
        <f t="shared" si="7"/>
        <v>-0.42424457805410948</v>
      </c>
      <c r="G28" s="7"/>
      <c r="H28" s="5">
        <f t="shared" si="8"/>
        <v>3.8348168000000005</v>
      </c>
    </row>
    <row r="29" spans="1:8" x14ac:dyDescent="0.3">
      <c r="A29" s="5" t="s">
        <v>22</v>
      </c>
      <c r="B29" s="5">
        <v>1.3081456</v>
      </c>
      <c r="C29" s="5">
        <v>1.5849536</v>
      </c>
      <c r="D29" s="6">
        <f t="shared" si="6"/>
        <v>0.21160335669057018</v>
      </c>
      <c r="E29" s="5">
        <v>1.7330301000000001</v>
      </c>
      <c r="F29" s="6">
        <f t="shared" si="7"/>
        <v>9.3426394312111194E-2</v>
      </c>
      <c r="G29" s="7"/>
      <c r="H29" s="5">
        <f t="shared" si="8"/>
        <v>1.7330301000000001</v>
      </c>
    </row>
    <row r="30" spans="1:8" x14ac:dyDescent="0.3">
      <c r="A30" s="5" t="s">
        <v>23</v>
      </c>
      <c r="B30" s="5">
        <v>0.89006320000000005</v>
      </c>
      <c r="C30" s="5">
        <v>0.85789399999999982</v>
      </c>
      <c r="D30" s="6">
        <f t="shared" si="6"/>
        <v>-3.6142602008486846E-2</v>
      </c>
      <c r="E30" s="5">
        <v>1.2195913</v>
      </c>
      <c r="F30" s="6">
        <f t="shared" si="7"/>
        <v>0.42161071181288168</v>
      </c>
      <c r="G30" s="7"/>
      <c r="H30" s="5">
        <f t="shared" si="8"/>
        <v>1.2195913</v>
      </c>
    </row>
    <row r="31" spans="1:8" x14ac:dyDescent="0.3">
      <c r="A31" s="5" t="s">
        <v>4</v>
      </c>
      <c r="B31" s="5">
        <v>0.79380289999999998</v>
      </c>
      <c r="C31" s="5">
        <v>1.5185798000000001</v>
      </c>
      <c r="D31" s="6">
        <f t="shared" si="6"/>
        <v>0.91304390548333869</v>
      </c>
      <c r="E31" s="5">
        <v>0.94054530000000003</v>
      </c>
      <c r="F31" s="6">
        <f t="shared" si="7"/>
        <v>-0.38064150464796126</v>
      </c>
      <c r="G31" s="7"/>
      <c r="H31" s="5">
        <f t="shared" si="8"/>
        <v>0.94054530000000003</v>
      </c>
    </row>
    <row r="32" spans="1:8" x14ac:dyDescent="0.3">
      <c r="A32" s="5" t="s">
        <v>8</v>
      </c>
      <c r="B32" s="5">
        <v>0.36472410000000005</v>
      </c>
      <c r="C32" s="5">
        <v>0.30253770000000002</v>
      </c>
      <c r="D32" s="5"/>
      <c r="E32" s="5">
        <v>0.48060140000000001</v>
      </c>
      <c r="F32" s="7"/>
      <c r="G32" s="7"/>
      <c r="H32" s="5">
        <f t="shared" si="8"/>
        <v>0.48060140000000001</v>
      </c>
    </row>
    <row r="33" spans="1:8" x14ac:dyDescent="0.3">
      <c r="A33" s="5" t="s">
        <v>5</v>
      </c>
      <c r="B33" s="5">
        <v>5.6583600000000005E-2</v>
      </c>
      <c r="C33" s="5">
        <v>9.9144399999999994E-2</v>
      </c>
      <c r="D33" s="5"/>
      <c r="E33" s="5">
        <v>0.26018999999999998</v>
      </c>
      <c r="F33" s="7"/>
      <c r="G33" s="7"/>
      <c r="H33" s="5">
        <f t="shared" si="8"/>
        <v>0.26018999999999998</v>
      </c>
    </row>
    <row r="34" spans="1:8" x14ac:dyDescent="0.3">
      <c r="A34" s="15" t="s">
        <v>1</v>
      </c>
      <c r="B34" s="15">
        <v>12.507396400000001</v>
      </c>
      <c r="C34" s="15">
        <v>22.589910700000004</v>
      </c>
      <c r="D34" s="16">
        <f>(C34-B34)/B34</f>
        <v>0.80612415066656096</v>
      </c>
      <c r="E34" s="15">
        <v>14.604571600000002</v>
      </c>
      <c r="F34" s="16">
        <f>(E34-C34)/C34</f>
        <v>-0.35349139737856516</v>
      </c>
      <c r="G34" s="17"/>
      <c r="H34" s="15">
        <f t="shared" si="8"/>
        <v>14.604571600000002</v>
      </c>
    </row>
    <row r="35" spans="1:8" x14ac:dyDescent="0.3">
      <c r="A35" s="1"/>
      <c r="B35" s="1"/>
      <c r="C35" s="1"/>
      <c r="D35" s="1"/>
      <c r="E35" s="1"/>
    </row>
    <row r="36" spans="1:8" x14ac:dyDescent="0.3">
      <c r="A36" s="10" t="s">
        <v>39</v>
      </c>
    </row>
    <row r="37" spans="1:8" x14ac:dyDescent="0.3">
      <c r="A37" s="4" t="s">
        <v>0</v>
      </c>
      <c r="B37" s="4" t="s">
        <v>41</v>
      </c>
      <c r="C37" s="4" t="s">
        <v>42</v>
      </c>
      <c r="D37" s="4" t="s">
        <v>33</v>
      </c>
      <c r="E37" s="4" t="s">
        <v>44</v>
      </c>
      <c r="F37" s="4" t="s">
        <v>34</v>
      </c>
      <c r="G37" s="4" t="s">
        <v>31</v>
      </c>
      <c r="H37" s="4" t="s">
        <v>32</v>
      </c>
    </row>
    <row r="38" spans="1:8" x14ac:dyDescent="0.3">
      <c r="A38" s="5" t="s">
        <v>15</v>
      </c>
      <c r="B38" s="5">
        <v>212.92682079999997</v>
      </c>
      <c r="C38" s="5">
        <v>407.21882230000006</v>
      </c>
      <c r="D38" s="6">
        <f t="shared" ref="D38:D39" si="9">(C38-B38)/B38</f>
        <v>0.9124825175617336</v>
      </c>
      <c r="E38" s="5">
        <v>470.73645850000008</v>
      </c>
      <c r="F38" s="6">
        <f t="shared" ref="F38:F39" si="10">(E38-C38)/C38</f>
        <v>0.15597912650807255</v>
      </c>
      <c r="G38" s="7"/>
      <c r="H38" s="5">
        <f>G38+E38</f>
        <v>470.73645850000008</v>
      </c>
    </row>
    <row r="39" spans="1:8" x14ac:dyDescent="0.3">
      <c r="A39" s="5" t="s">
        <v>19</v>
      </c>
      <c r="B39" s="5">
        <v>0.96543000000000001</v>
      </c>
      <c r="C39" s="5">
        <v>1.3735999999999999</v>
      </c>
      <c r="D39" s="6">
        <f t="shared" si="9"/>
        <v>0.42278570170804708</v>
      </c>
      <c r="E39" s="5">
        <v>3.5294400000000001</v>
      </c>
      <c r="F39" s="6">
        <f t="shared" si="10"/>
        <v>1.5694816540477581</v>
      </c>
      <c r="G39" s="7"/>
      <c r="H39" s="5">
        <f>G39+E39</f>
        <v>3.5294400000000001</v>
      </c>
    </row>
    <row r="40" spans="1:8" x14ac:dyDescent="0.3">
      <c r="A40" s="5" t="s">
        <v>26</v>
      </c>
      <c r="B40" s="5">
        <v>0.9705916</v>
      </c>
      <c r="C40" s="5">
        <v>0.37132999999999999</v>
      </c>
      <c r="D40" s="6">
        <f>(C40-B40)/B40</f>
        <v>-0.6174189020387153</v>
      </c>
      <c r="E40" s="5">
        <v>0</v>
      </c>
      <c r="F40" s="7"/>
      <c r="G40" s="7"/>
      <c r="H40" s="5">
        <f>G40+E40</f>
        <v>0</v>
      </c>
    </row>
    <row r="41" spans="1:8" x14ac:dyDescent="0.3">
      <c r="A41" s="15" t="s">
        <v>1</v>
      </c>
      <c r="B41" s="15">
        <v>214.86284239999998</v>
      </c>
      <c r="C41" s="15">
        <v>408.96375230000007</v>
      </c>
      <c r="D41" s="16">
        <f>(C41-B41)/B41</f>
        <v>0.90337122850982121</v>
      </c>
      <c r="E41" s="15">
        <v>474.26589850000011</v>
      </c>
      <c r="F41" s="16">
        <f>(E41-C41)/C41</f>
        <v>0.1596771005565718</v>
      </c>
      <c r="G41" s="17"/>
      <c r="H41" s="15">
        <f>G41+E41</f>
        <v>474.26589850000011</v>
      </c>
    </row>
    <row r="43" spans="1:8" x14ac:dyDescent="0.3">
      <c r="A43" s="12" t="s">
        <v>40</v>
      </c>
    </row>
    <row r="44" spans="1:8" x14ac:dyDescent="0.3">
      <c r="A44" s="4" t="s">
        <v>0</v>
      </c>
      <c r="B44" s="4" t="s">
        <v>41</v>
      </c>
      <c r="C44" s="4" t="s">
        <v>42</v>
      </c>
      <c r="D44" s="4" t="s">
        <v>33</v>
      </c>
      <c r="E44" s="4" t="s">
        <v>44</v>
      </c>
      <c r="F44" s="4" t="s">
        <v>34</v>
      </c>
      <c r="G44" s="4" t="s">
        <v>31</v>
      </c>
      <c r="H44" s="4" t="s">
        <v>32</v>
      </c>
    </row>
    <row r="45" spans="1:8" x14ac:dyDescent="0.3">
      <c r="A45" s="5" t="s">
        <v>28</v>
      </c>
      <c r="B45" s="5">
        <v>9.6234010999999988</v>
      </c>
      <c r="C45" s="5">
        <v>12.2545898</v>
      </c>
      <c r="D45" s="6">
        <f t="shared" ref="D45:D46" si="11">(C45-B45)/B45</f>
        <v>0.27341567421522117</v>
      </c>
      <c r="E45" s="5">
        <v>5.7904</v>
      </c>
      <c r="F45" s="6">
        <f t="shared" ref="F45:F46" si="12">(E45-C45)/C45</f>
        <v>-0.52749132410780486</v>
      </c>
      <c r="G45" s="7"/>
      <c r="H45" s="5">
        <f>G45+E45</f>
        <v>5.7904</v>
      </c>
    </row>
    <row r="46" spans="1:8" x14ac:dyDescent="0.3">
      <c r="A46" s="15" t="s">
        <v>1</v>
      </c>
      <c r="B46" s="15">
        <v>9.6234010999999988</v>
      </c>
      <c r="C46" s="15">
        <v>12.2545898</v>
      </c>
      <c r="D46" s="16">
        <f t="shared" si="11"/>
        <v>0.27341567421522117</v>
      </c>
      <c r="E46" s="15">
        <v>5.7904</v>
      </c>
      <c r="F46" s="16">
        <f t="shared" si="12"/>
        <v>-0.52749132410780486</v>
      </c>
      <c r="G46" s="17"/>
      <c r="H46" s="15">
        <f>G46+E46</f>
        <v>5.7904</v>
      </c>
    </row>
    <row r="47" spans="1:8" x14ac:dyDescent="0.3">
      <c r="A47" s="1"/>
      <c r="B47" s="1"/>
      <c r="C47" s="1"/>
      <c r="D47" s="1"/>
      <c r="E47" s="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4ED0-B912-4C2D-A8D3-9F591AC66D6F}">
  <dimension ref="A1:J50"/>
  <sheetViews>
    <sheetView tabSelected="1" workbookViewId="0">
      <selection activeCell="I39" sqref="I39"/>
    </sheetView>
  </sheetViews>
  <sheetFormatPr defaultRowHeight="14.4" x14ac:dyDescent="0.3"/>
  <cols>
    <col min="1" max="1" width="14.5546875" bestFit="1" customWidth="1"/>
    <col min="2" max="3" width="14.109375" bestFit="1" customWidth="1"/>
    <col min="4" max="4" width="14.33203125" bestFit="1" customWidth="1"/>
    <col min="5" max="5" width="32.33203125" bestFit="1" customWidth="1"/>
    <col min="6" max="6" width="14.33203125" bestFit="1" customWidth="1"/>
    <col min="7" max="7" width="15.109375" bestFit="1" customWidth="1"/>
    <col min="8" max="8" width="5.21875" bestFit="1" customWidth="1"/>
  </cols>
  <sheetData>
    <row r="1" spans="1:10" x14ac:dyDescent="0.3">
      <c r="A1" s="4" t="s">
        <v>0</v>
      </c>
      <c r="B1" s="4" t="s">
        <v>41</v>
      </c>
      <c r="C1" s="4" t="s">
        <v>42</v>
      </c>
      <c r="D1" s="4" t="s">
        <v>33</v>
      </c>
      <c r="E1" s="4" t="s">
        <v>44</v>
      </c>
      <c r="F1" s="4" t="s">
        <v>34</v>
      </c>
      <c r="G1" s="4" t="s">
        <v>31</v>
      </c>
      <c r="H1" s="4" t="s">
        <v>32</v>
      </c>
    </row>
    <row r="2" spans="1:10" x14ac:dyDescent="0.3">
      <c r="A2" s="5" t="s">
        <v>18</v>
      </c>
      <c r="B2" s="5">
        <v>36.515850699999994</v>
      </c>
      <c r="C2" s="5">
        <v>53.199567899999998</v>
      </c>
      <c r="D2" s="6">
        <f>(C2-B2)/B2</f>
        <v>0.45688973090253121</v>
      </c>
      <c r="E2" s="5">
        <v>75.120892699999999</v>
      </c>
      <c r="F2" s="6">
        <f>(E2-C2)/C2</f>
        <v>0.41205832425567507</v>
      </c>
      <c r="G2" s="7"/>
      <c r="H2" s="5">
        <f>G2+E2</f>
        <v>75.120892699999999</v>
      </c>
      <c r="J2">
        <v>100000</v>
      </c>
    </row>
    <row r="3" spans="1:10" x14ac:dyDescent="0.3">
      <c r="A3" s="5" t="s">
        <v>2</v>
      </c>
      <c r="B3" s="5">
        <v>22.265295000000012</v>
      </c>
      <c r="C3" s="5">
        <v>23.8753256</v>
      </c>
      <c r="D3" s="6">
        <f t="shared" ref="D3:D6" si="0">(C3-B3)/B3</f>
        <v>7.2311217973980879E-2</v>
      </c>
      <c r="E3" s="5">
        <v>26.018245500000006</v>
      </c>
      <c r="F3" s="6">
        <f t="shared" ref="F3:F6" si="1">(E3-C3)/C3</f>
        <v>8.975458328409168E-2</v>
      </c>
      <c r="G3" s="7"/>
      <c r="H3" s="5">
        <f>G3+E3</f>
        <v>26.018245500000006</v>
      </c>
    </row>
    <row r="4" spans="1:10" x14ac:dyDescent="0.3">
      <c r="A4" s="5" t="s">
        <v>25</v>
      </c>
      <c r="B4" s="5">
        <v>23.514163799999999</v>
      </c>
      <c r="C4" s="5">
        <v>17.940902699999999</v>
      </c>
      <c r="D4" s="6">
        <f t="shared" si="0"/>
        <v>-0.23701719301623647</v>
      </c>
      <c r="E4" s="5">
        <v>16.559999999999999</v>
      </c>
      <c r="F4" s="6">
        <f t="shared" si="1"/>
        <v>-7.6969521717544356E-2</v>
      </c>
      <c r="G4" s="7"/>
      <c r="H4" s="5">
        <f>G4+E4</f>
        <v>16.559999999999999</v>
      </c>
    </row>
    <row r="5" spans="1:10" x14ac:dyDescent="0.3">
      <c r="A5" s="5" t="s">
        <v>10</v>
      </c>
      <c r="B5" s="5">
        <v>5.3009005000000009</v>
      </c>
      <c r="C5" s="5">
        <v>6.8013138000000044</v>
      </c>
      <c r="D5" s="6">
        <f t="shared" si="0"/>
        <v>0.28304875747054736</v>
      </c>
      <c r="E5" s="5">
        <v>4.1735017999999995</v>
      </c>
      <c r="F5" s="6">
        <f t="shared" si="1"/>
        <v>-0.38636829254959582</v>
      </c>
      <c r="G5" s="7"/>
      <c r="H5" s="5">
        <f>G5+E5</f>
        <v>4.1735017999999995</v>
      </c>
    </row>
    <row r="6" spans="1:10" x14ac:dyDescent="0.3">
      <c r="A6" s="15" t="s">
        <v>1</v>
      </c>
      <c r="B6" s="15">
        <v>87.596210000000013</v>
      </c>
      <c r="C6" s="15">
        <v>101.81711000000001</v>
      </c>
      <c r="D6" s="16">
        <f t="shared" si="0"/>
        <v>0.16234606497244569</v>
      </c>
      <c r="E6" s="15">
        <v>121.87264</v>
      </c>
      <c r="F6" s="16">
        <f t="shared" si="1"/>
        <v>0.19697602888158963</v>
      </c>
      <c r="G6" s="17"/>
      <c r="H6" s="15">
        <f>G6+E6</f>
        <v>121.87264</v>
      </c>
    </row>
    <row r="9" spans="1:10" x14ac:dyDescent="0.3">
      <c r="A9" s="10" t="s">
        <v>37</v>
      </c>
    </row>
    <row r="10" spans="1:10" x14ac:dyDescent="0.3">
      <c r="A10" s="4" t="s">
        <v>0</v>
      </c>
      <c r="B10" s="4" t="s">
        <v>41</v>
      </c>
      <c r="C10" s="4" t="s">
        <v>42</v>
      </c>
      <c r="D10" s="4" t="s">
        <v>33</v>
      </c>
      <c r="E10" s="4" t="s">
        <v>44</v>
      </c>
      <c r="F10" s="4" t="s">
        <v>34</v>
      </c>
      <c r="G10" s="4" t="s">
        <v>31</v>
      </c>
      <c r="H10" s="4" t="s">
        <v>32</v>
      </c>
    </row>
    <row r="11" spans="1:10" x14ac:dyDescent="0.3">
      <c r="A11" s="5" t="s">
        <v>4</v>
      </c>
      <c r="B11" s="5">
        <v>8.8240695000000002</v>
      </c>
      <c r="C11" s="5">
        <v>13.040129099999996</v>
      </c>
      <c r="D11" s="6">
        <f t="shared" ref="D11:D16" si="2">(C11-B11)/B11</f>
        <v>0.47779084242253483</v>
      </c>
      <c r="E11" s="5">
        <v>21.163570499999999</v>
      </c>
      <c r="F11" s="6">
        <f t="shared" ref="F11:F14" si="3">(E11-C11)/C11</f>
        <v>0.62295713007933373</v>
      </c>
      <c r="G11" s="7"/>
      <c r="H11" s="5">
        <f t="shared" ref="H11:H25" si="4">G11+E11</f>
        <v>21.163570499999999</v>
      </c>
    </row>
    <row r="12" spans="1:10" x14ac:dyDescent="0.3">
      <c r="A12" s="5" t="s">
        <v>5</v>
      </c>
      <c r="B12" s="5">
        <v>1.0656546999999998</v>
      </c>
      <c r="C12" s="5">
        <v>1.4841793999999999</v>
      </c>
      <c r="D12" s="6">
        <f t="shared" si="2"/>
        <v>0.39273950558281229</v>
      </c>
      <c r="E12" s="5">
        <v>1.5506222000000001</v>
      </c>
      <c r="F12" s="6">
        <f t="shared" si="3"/>
        <v>4.4767364376570744E-2</v>
      </c>
      <c r="G12" s="7"/>
      <c r="H12" s="5">
        <f t="shared" si="4"/>
        <v>1.5506222000000001</v>
      </c>
    </row>
    <row r="13" spans="1:10" x14ac:dyDescent="0.3">
      <c r="A13" s="5" t="s">
        <v>8</v>
      </c>
      <c r="B13" s="5">
        <v>4.5134465000000006</v>
      </c>
      <c r="C13" s="5">
        <v>1.1924174999999999</v>
      </c>
      <c r="D13" s="6">
        <f t="shared" si="2"/>
        <v>-0.73580776907403256</v>
      </c>
      <c r="E13" s="5">
        <v>1.2693677999999999</v>
      </c>
      <c r="F13" s="6">
        <f t="shared" si="3"/>
        <v>6.4533018007535137E-2</v>
      </c>
      <c r="G13" s="7"/>
      <c r="H13" s="5">
        <f t="shared" si="4"/>
        <v>1.2693677999999999</v>
      </c>
    </row>
    <row r="14" spans="1:10" x14ac:dyDescent="0.3">
      <c r="A14" s="5" t="s">
        <v>9</v>
      </c>
      <c r="B14" s="5">
        <v>2.0701092999999999</v>
      </c>
      <c r="C14" s="5">
        <v>1.2600564000000001</v>
      </c>
      <c r="D14" s="6">
        <f t="shared" si="2"/>
        <v>-0.39130924149753826</v>
      </c>
      <c r="E14" s="5">
        <v>0.59544170000000007</v>
      </c>
      <c r="F14" s="6">
        <f t="shared" si="3"/>
        <v>-0.52744837453307647</v>
      </c>
      <c r="G14" s="7"/>
      <c r="H14" s="5">
        <f t="shared" si="4"/>
        <v>0.59544170000000007</v>
      </c>
    </row>
    <row r="15" spans="1:10" x14ac:dyDescent="0.3">
      <c r="A15" s="5" t="s">
        <v>12</v>
      </c>
      <c r="B15" s="5">
        <v>2.7119798000000004</v>
      </c>
      <c r="C15" s="5">
        <v>4.4670671999999998</v>
      </c>
      <c r="D15" s="6">
        <f t="shared" si="2"/>
        <v>0.64716094124299861</v>
      </c>
      <c r="E15" s="5">
        <v>0.48914920000000001</v>
      </c>
      <c r="F15" s="7"/>
      <c r="G15" s="7"/>
      <c r="H15" s="5">
        <f t="shared" si="4"/>
        <v>0.48914920000000001</v>
      </c>
    </row>
    <row r="16" spans="1:10" x14ac:dyDescent="0.3">
      <c r="A16" s="5" t="s">
        <v>20</v>
      </c>
      <c r="B16" s="5">
        <v>1.0917971</v>
      </c>
      <c r="C16" s="5">
        <v>1.0391424</v>
      </c>
      <c r="D16" s="6">
        <f t="shared" si="2"/>
        <v>-4.8227550705163026E-2</v>
      </c>
      <c r="E16" s="5">
        <v>0.30256959999999999</v>
      </c>
      <c r="F16" s="7"/>
      <c r="G16" s="7"/>
      <c r="H16" s="5">
        <f t="shared" si="4"/>
        <v>0.30256959999999999</v>
      </c>
    </row>
    <row r="17" spans="1:8" x14ac:dyDescent="0.3">
      <c r="A17" s="5" t="s">
        <v>6</v>
      </c>
      <c r="B17" s="5">
        <v>0.49397149999999995</v>
      </c>
      <c r="C17" s="5">
        <v>0.49888080000000001</v>
      </c>
      <c r="D17" s="5"/>
      <c r="E17" s="5">
        <v>0.19392900000000002</v>
      </c>
      <c r="F17" s="7"/>
      <c r="G17" s="7"/>
      <c r="H17" s="5">
        <f t="shared" si="4"/>
        <v>0.19392900000000002</v>
      </c>
    </row>
    <row r="18" spans="1:8" x14ac:dyDescent="0.3">
      <c r="A18" s="5" t="s">
        <v>3</v>
      </c>
      <c r="B18" s="5">
        <v>0.50670420000000005</v>
      </c>
      <c r="C18" s="5">
        <v>0.40680250000000001</v>
      </c>
      <c r="D18" s="6">
        <f>(C18-B18)/B18</f>
        <v>-0.19715980250410403</v>
      </c>
      <c r="E18" s="5">
        <v>0.19050159999999999</v>
      </c>
      <c r="F18" s="6">
        <f>(E18-C18)/C18</f>
        <v>-0.53170985920686331</v>
      </c>
      <c r="G18" s="7"/>
      <c r="H18" s="5">
        <f t="shared" si="4"/>
        <v>0.19050159999999999</v>
      </c>
    </row>
    <row r="19" spans="1:8" x14ac:dyDescent="0.3">
      <c r="A19" s="5" t="s">
        <v>7</v>
      </c>
      <c r="B19" s="5">
        <v>0.40473320000000007</v>
      </c>
      <c r="C19" s="5">
        <v>0.27270709999999998</v>
      </c>
      <c r="D19" s="5"/>
      <c r="E19" s="5">
        <v>0.17246020000000001</v>
      </c>
      <c r="F19" s="7"/>
      <c r="G19" s="7"/>
      <c r="H19" s="5">
        <f t="shared" si="4"/>
        <v>0.17246020000000001</v>
      </c>
    </row>
    <row r="20" spans="1:8" x14ac:dyDescent="0.3">
      <c r="A20" s="5" t="s">
        <v>13</v>
      </c>
      <c r="B20" s="5">
        <v>0.31903619999999999</v>
      </c>
      <c r="C20" s="5">
        <v>0.18076920000000002</v>
      </c>
      <c r="D20" s="5"/>
      <c r="E20" s="5">
        <v>7.0158399999999996E-2</v>
      </c>
      <c r="F20" s="7"/>
      <c r="G20" s="7"/>
      <c r="H20" s="5">
        <f t="shared" si="4"/>
        <v>7.0158399999999996E-2</v>
      </c>
    </row>
    <row r="21" spans="1:8" x14ac:dyDescent="0.3">
      <c r="A21" s="5" t="s">
        <v>24</v>
      </c>
      <c r="B21" s="5">
        <v>0</v>
      </c>
      <c r="C21" s="5">
        <v>0</v>
      </c>
      <c r="D21" s="5"/>
      <c r="E21" s="5">
        <v>1.19249E-2</v>
      </c>
      <c r="F21" s="7"/>
      <c r="G21" s="7"/>
      <c r="H21" s="5">
        <f t="shared" si="4"/>
        <v>1.19249E-2</v>
      </c>
    </row>
    <row r="22" spans="1:8" x14ac:dyDescent="0.3">
      <c r="A22" s="5" t="s">
        <v>21</v>
      </c>
      <c r="B22" s="5">
        <v>0</v>
      </c>
      <c r="C22" s="5">
        <v>2.1833999999999999E-2</v>
      </c>
      <c r="D22" s="5"/>
      <c r="E22" s="5">
        <v>8.5503999999999997E-3</v>
      </c>
      <c r="F22" s="7"/>
      <c r="G22" s="7"/>
      <c r="H22" s="5">
        <f t="shared" si="4"/>
        <v>8.5503999999999997E-3</v>
      </c>
    </row>
    <row r="23" spans="1:8" x14ac:dyDescent="0.3">
      <c r="A23" s="5" t="s">
        <v>17</v>
      </c>
      <c r="B23" s="5">
        <v>8.6942099999999994E-2</v>
      </c>
      <c r="C23" s="5">
        <v>-0.10152</v>
      </c>
      <c r="D23" s="5"/>
      <c r="E23" s="5">
        <v>0</v>
      </c>
      <c r="F23" s="7"/>
      <c r="G23" s="7"/>
      <c r="H23" s="5">
        <f t="shared" si="4"/>
        <v>0</v>
      </c>
    </row>
    <row r="24" spans="1:8" x14ac:dyDescent="0.3">
      <c r="A24" s="5" t="s">
        <v>16</v>
      </c>
      <c r="B24" s="5">
        <v>0.17685090000000001</v>
      </c>
      <c r="C24" s="5">
        <v>0.11286</v>
      </c>
      <c r="D24" s="5"/>
      <c r="E24" s="5">
        <v>0</v>
      </c>
      <c r="F24" s="7"/>
      <c r="G24" s="7"/>
      <c r="H24" s="5">
        <f t="shared" si="4"/>
        <v>0</v>
      </c>
    </row>
    <row r="25" spans="1:8" x14ac:dyDescent="0.3">
      <c r="A25" s="15" t="s">
        <v>1</v>
      </c>
      <c r="B25" s="15">
        <v>22.265294999999998</v>
      </c>
      <c r="C25" s="15">
        <v>23.875325599999996</v>
      </c>
      <c r="D25" s="16">
        <f>(C25-B25)/B25</f>
        <v>7.2311217973981406E-2</v>
      </c>
      <c r="E25" s="15">
        <v>26.018245499999992</v>
      </c>
      <c r="F25" s="16">
        <f>(E25-C25)/C25</f>
        <v>8.9754583284091249E-2</v>
      </c>
      <c r="G25" s="17"/>
      <c r="H25" s="15">
        <f t="shared" si="4"/>
        <v>26.018245499999992</v>
      </c>
    </row>
    <row r="27" spans="1:8" x14ac:dyDescent="0.3">
      <c r="A27" s="10" t="s">
        <v>38</v>
      </c>
    </row>
    <row r="28" spans="1:8" x14ac:dyDescent="0.3">
      <c r="A28" s="4" t="s">
        <v>0</v>
      </c>
      <c r="B28" s="4" t="s">
        <v>41</v>
      </c>
      <c r="C28" s="4" t="s">
        <v>42</v>
      </c>
      <c r="D28" s="4" t="s">
        <v>33</v>
      </c>
      <c r="E28" s="4" t="s">
        <v>44</v>
      </c>
      <c r="F28" s="4" t="s">
        <v>34</v>
      </c>
      <c r="G28" s="4" t="s">
        <v>31</v>
      </c>
      <c r="H28" s="4" t="s">
        <v>32</v>
      </c>
    </row>
    <row r="29" spans="1:8" x14ac:dyDescent="0.3">
      <c r="A29" s="5" t="s">
        <v>14</v>
      </c>
      <c r="B29" s="5">
        <v>1.8884357999999999</v>
      </c>
      <c r="C29" s="5">
        <v>2.6330955</v>
      </c>
      <c r="D29" s="6">
        <f t="shared" ref="D29:D31" si="5">(C29-B29)/B29</f>
        <v>0.39432619313825767</v>
      </c>
      <c r="E29" s="5">
        <v>1.6384082</v>
      </c>
      <c r="F29" s="6">
        <f t="shared" ref="F29:F32" si="6">(E29-C29)/C29</f>
        <v>-0.37776347268832444</v>
      </c>
      <c r="G29" s="7"/>
      <c r="H29" s="5">
        <f t="shared" ref="H29:H36" si="7">G29+E29</f>
        <v>1.6384082</v>
      </c>
    </row>
    <row r="30" spans="1:8" x14ac:dyDescent="0.3">
      <c r="A30" s="5" t="s">
        <v>4</v>
      </c>
      <c r="B30" s="5">
        <v>1.5976084999999995</v>
      </c>
      <c r="C30" s="5">
        <v>2.2270352999999998</v>
      </c>
      <c r="D30" s="6">
        <f t="shared" si="5"/>
        <v>0.39398062791979416</v>
      </c>
      <c r="E30" s="5">
        <v>0.91498199999999996</v>
      </c>
      <c r="F30" s="6">
        <f t="shared" si="6"/>
        <v>-0.58914795827439281</v>
      </c>
      <c r="G30" s="7"/>
      <c r="H30" s="5">
        <f t="shared" si="7"/>
        <v>0.91498199999999996</v>
      </c>
    </row>
    <row r="31" spans="1:8" x14ac:dyDescent="0.3">
      <c r="A31" s="5" t="s">
        <v>23</v>
      </c>
      <c r="B31" s="5">
        <v>0.5450467</v>
      </c>
      <c r="C31" s="5">
        <v>0.55545739999999999</v>
      </c>
      <c r="D31" s="6">
        <f t="shared" si="5"/>
        <v>1.9100565144234419E-2</v>
      </c>
      <c r="E31" s="5">
        <v>0.54981250000000004</v>
      </c>
      <c r="F31" s="6">
        <f t="shared" si="6"/>
        <v>-1.0162615530911917E-2</v>
      </c>
      <c r="G31" s="7"/>
      <c r="H31" s="5">
        <f t="shared" si="7"/>
        <v>0.54981250000000004</v>
      </c>
    </row>
    <row r="32" spans="1:8" x14ac:dyDescent="0.3">
      <c r="A32" s="5" t="s">
        <v>8</v>
      </c>
      <c r="B32" s="5">
        <v>0.40617169999999997</v>
      </c>
      <c r="C32" s="5">
        <v>0.44843979999999994</v>
      </c>
      <c r="D32" s="5"/>
      <c r="E32" s="5">
        <v>0.52255569999999996</v>
      </c>
      <c r="F32" s="6">
        <f t="shared" si="6"/>
        <v>0.16527502688209214</v>
      </c>
      <c r="G32" s="7"/>
      <c r="H32" s="5">
        <f t="shared" si="7"/>
        <v>0.52255569999999996</v>
      </c>
    </row>
    <row r="33" spans="1:8" x14ac:dyDescent="0.3">
      <c r="A33" s="5" t="s">
        <v>11</v>
      </c>
      <c r="B33" s="5">
        <v>0.687608</v>
      </c>
      <c r="C33" s="5">
        <v>0.75915100000000002</v>
      </c>
      <c r="D33" s="6">
        <f>(C33-B33)/B33</f>
        <v>0.10404620074228343</v>
      </c>
      <c r="E33" s="5">
        <v>0.38250290000000003</v>
      </c>
      <c r="F33" s="6">
        <f>(E33-C33)/C33</f>
        <v>-0.49614385016946561</v>
      </c>
      <c r="G33" s="7"/>
      <c r="H33" s="5">
        <f t="shared" si="7"/>
        <v>0.38250290000000003</v>
      </c>
    </row>
    <row r="34" spans="1:8" x14ac:dyDescent="0.3">
      <c r="A34" s="5" t="s">
        <v>22</v>
      </c>
      <c r="B34" s="5">
        <v>9.2976599999999993E-2</v>
      </c>
      <c r="C34" s="5">
        <v>9.04726E-2</v>
      </c>
      <c r="D34" s="5"/>
      <c r="E34" s="5">
        <v>9.0026700000000001E-2</v>
      </c>
      <c r="F34" s="7"/>
      <c r="G34" s="7"/>
      <c r="H34" s="5">
        <f t="shared" si="7"/>
        <v>9.0026700000000001E-2</v>
      </c>
    </row>
    <row r="35" spans="1:8" x14ac:dyDescent="0.3">
      <c r="A35" s="5" t="s">
        <v>5</v>
      </c>
      <c r="B35" s="5">
        <v>8.3053199999999994E-2</v>
      </c>
      <c r="C35" s="5">
        <v>8.7662199999999996E-2</v>
      </c>
      <c r="D35" s="5"/>
      <c r="E35" s="5">
        <v>7.5213799999999997E-2</v>
      </c>
      <c r="F35" s="7"/>
      <c r="G35" s="7"/>
      <c r="H35" s="5">
        <f t="shared" si="7"/>
        <v>7.5213799999999997E-2</v>
      </c>
    </row>
    <row r="36" spans="1:8" x14ac:dyDescent="0.3">
      <c r="A36" s="15" t="s">
        <v>1</v>
      </c>
      <c r="B36" s="15">
        <v>5.3009004999999991</v>
      </c>
      <c r="C36" s="15">
        <v>6.8013138</v>
      </c>
      <c r="D36" s="16">
        <f>(C36-B36)/B36</f>
        <v>0.28304875747054697</v>
      </c>
      <c r="E36" s="15">
        <v>4.1735018000000004</v>
      </c>
      <c r="F36" s="16">
        <f>(E36-C36)/C36</f>
        <v>-0.38636829254959526</v>
      </c>
      <c r="G36" s="17"/>
      <c r="H36" s="15">
        <f t="shared" si="7"/>
        <v>4.1735018000000004</v>
      </c>
    </row>
    <row r="37" spans="1:8" x14ac:dyDescent="0.3">
      <c r="A37" s="1"/>
      <c r="B37" s="1"/>
      <c r="C37" s="1"/>
      <c r="D37" s="1"/>
      <c r="E37" s="1"/>
    </row>
    <row r="38" spans="1:8" x14ac:dyDescent="0.3">
      <c r="A38" s="10" t="s">
        <v>39</v>
      </c>
    </row>
    <row r="39" spans="1:8" x14ac:dyDescent="0.3">
      <c r="A39" s="4" t="s">
        <v>0</v>
      </c>
      <c r="B39" s="4" t="s">
        <v>41</v>
      </c>
      <c r="C39" s="4" t="s">
        <v>42</v>
      </c>
      <c r="D39" s="4" t="s">
        <v>33</v>
      </c>
      <c r="E39" s="4" t="s">
        <v>44</v>
      </c>
      <c r="F39" s="4" t="s">
        <v>34</v>
      </c>
      <c r="G39" s="4" t="s">
        <v>31</v>
      </c>
      <c r="H39" s="4" t="s">
        <v>32</v>
      </c>
    </row>
    <row r="40" spans="1:8" x14ac:dyDescent="0.3">
      <c r="A40" s="5" t="s">
        <v>26</v>
      </c>
      <c r="B40" s="5">
        <v>31.581738700000002</v>
      </c>
      <c r="C40" s="5">
        <v>47.976527900000001</v>
      </c>
      <c r="D40" s="6">
        <f t="shared" ref="D40:D43" si="8">(C40-B40)/B40</f>
        <v>0.51912243830957905</v>
      </c>
      <c r="E40" s="5">
        <v>68.763632700000002</v>
      </c>
      <c r="F40" s="6">
        <f t="shared" ref="F40:F43" si="9">(E40-C40)/C40</f>
        <v>0.43327655647210772</v>
      </c>
      <c r="G40" s="7"/>
      <c r="H40" s="5">
        <f>G40+E40</f>
        <v>68.763632700000002</v>
      </c>
    </row>
    <row r="41" spans="1:8" x14ac:dyDescent="0.3">
      <c r="A41" s="5" t="s">
        <v>19</v>
      </c>
      <c r="B41" s="5">
        <v>3.3987119999999997</v>
      </c>
      <c r="C41" s="5">
        <v>0.85119999999999996</v>
      </c>
      <c r="D41" s="6">
        <f t="shared" si="8"/>
        <v>-0.74955218329767281</v>
      </c>
      <c r="E41" s="5">
        <v>3.42</v>
      </c>
      <c r="F41" s="6">
        <f t="shared" si="9"/>
        <v>3.0178571428571428</v>
      </c>
      <c r="G41" s="7"/>
      <c r="H41" s="5">
        <f>G41+E41</f>
        <v>3.42</v>
      </c>
    </row>
    <row r="42" spans="1:8" x14ac:dyDescent="0.3">
      <c r="A42" s="5" t="s">
        <v>15</v>
      </c>
      <c r="B42" s="5">
        <v>1.5354000000000001</v>
      </c>
      <c r="C42" s="5">
        <v>4.3718399999999997</v>
      </c>
      <c r="D42" s="6">
        <f t="shared" si="8"/>
        <v>1.8473622508792493</v>
      </c>
      <c r="E42" s="5">
        <v>2.9372600000000002</v>
      </c>
      <c r="F42" s="6">
        <f t="shared" si="9"/>
        <v>-0.32814101156492453</v>
      </c>
      <c r="G42" s="7"/>
      <c r="H42" s="5">
        <f>G42+E42</f>
        <v>2.9372600000000002</v>
      </c>
    </row>
    <row r="43" spans="1:8" x14ac:dyDescent="0.3">
      <c r="A43" s="15" t="s">
        <v>1</v>
      </c>
      <c r="B43" s="15">
        <v>36.515850700000001</v>
      </c>
      <c r="C43" s="15">
        <v>53.199567899999998</v>
      </c>
      <c r="D43" s="16">
        <f t="shared" si="8"/>
        <v>0.45688973090253093</v>
      </c>
      <c r="E43" s="15">
        <v>75.120892699999999</v>
      </c>
      <c r="F43" s="16">
        <f t="shared" si="9"/>
        <v>0.41205832425567507</v>
      </c>
      <c r="G43" s="17"/>
      <c r="H43" s="15">
        <f>G43+E43</f>
        <v>75.120892699999999</v>
      </c>
    </row>
    <row r="45" spans="1:8" x14ac:dyDescent="0.3">
      <c r="A45" s="12" t="s">
        <v>40</v>
      </c>
    </row>
    <row r="46" spans="1:8" x14ac:dyDescent="0.3">
      <c r="A46" s="4" t="s">
        <v>0</v>
      </c>
      <c r="B46" s="4" t="s">
        <v>41</v>
      </c>
      <c r="C46" s="4" t="s">
        <v>42</v>
      </c>
      <c r="D46" s="4" t="s">
        <v>33</v>
      </c>
      <c r="E46" s="4" t="s">
        <v>44</v>
      </c>
      <c r="F46" s="4" t="s">
        <v>34</v>
      </c>
      <c r="G46" s="4" t="s">
        <v>31</v>
      </c>
      <c r="H46" s="4" t="s">
        <v>32</v>
      </c>
    </row>
    <row r="47" spans="1:8" x14ac:dyDescent="0.3">
      <c r="A47" s="5" t="s">
        <v>28</v>
      </c>
      <c r="B47" s="5">
        <v>23.514163799999999</v>
      </c>
      <c r="C47" s="5">
        <v>17.940902699999999</v>
      </c>
      <c r="D47" s="6">
        <f t="shared" ref="D47:D48" si="10">(C47-B47)/B47</f>
        <v>-0.23701719301623647</v>
      </c>
      <c r="E47" s="5">
        <v>16.559999999999999</v>
      </c>
      <c r="F47" s="6">
        <f t="shared" ref="F47:F48" si="11">(E47-C47)/C47</f>
        <v>-7.6969521717544356E-2</v>
      </c>
      <c r="G47" s="7"/>
      <c r="H47" s="5">
        <f>G47+E47</f>
        <v>16.559999999999999</v>
      </c>
    </row>
    <row r="48" spans="1:8" x14ac:dyDescent="0.3">
      <c r="A48" s="15" t="s">
        <v>1</v>
      </c>
      <c r="B48" s="15">
        <v>23.514163799999999</v>
      </c>
      <c r="C48" s="15">
        <v>17.940902699999999</v>
      </c>
      <c r="D48" s="16">
        <f t="shared" si="10"/>
        <v>-0.23701719301623647</v>
      </c>
      <c r="E48" s="15">
        <v>16.559999999999999</v>
      </c>
      <c r="F48" s="16">
        <f t="shared" si="11"/>
        <v>-7.6969521717544356E-2</v>
      </c>
      <c r="G48" s="17"/>
      <c r="H48" s="15">
        <f>G48+E48</f>
        <v>16.559999999999999</v>
      </c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Gujrat</vt:lpstr>
      <vt:lpstr>Yavatmal</vt:lpstr>
      <vt:lpstr>Wardha</vt:lpstr>
      <vt:lpstr>All India</vt:lpstr>
      <vt:lpstr>mk khan</vt:lpstr>
      <vt:lpstr>w-mh</vt:lpstr>
      <vt:lpstr>mp-indore</vt:lpstr>
      <vt:lpstr>mp-jabalpur</vt:lpstr>
      <vt:lpstr>South</vt:lpstr>
      <vt:lpstr>Chhattisgarh</vt:lpstr>
      <vt:lpstr>Rajasthan</vt:lpstr>
      <vt:lpstr>UP</vt:lpstr>
      <vt:lpstr>jharkhand</vt:lpstr>
      <vt:lpstr>bihar</vt:lpstr>
      <vt:lpstr>Nagpur</vt:lpstr>
      <vt:lpstr>bhandara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Kshirsagar</dc:creator>
  <cp:lastModifiedBy>PRAJWAL KARNIK</cp:lastModifiedBy>
  <dcterms:created xsi:type="dcterms:W3CDTF">2025-11-14T06:41:25Z</dcterms:created>
  <dcterms:modified xsi:type="dcterms:W3CDTF">2025-11-20T04:36:04Z</dcterms:modified>
</cp:coreProperties>
</file>